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언론보도" sheetId="1" state="visible" r:id="rId1"/>
    <sheet name="기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작성일</t>
        </is>
      </c>
      <c r="E1" s="1" t="inlineStr">
        <is>
          <t>이미지보기</t>
        </is>
      </c>
    </row>
    <row r="2">
      <c r="A2" t="n">
        <v>1</v>
      </c>
      <c r="B2" t="inlineStr">
        <is>
          <t>** 전북대 첨단방산학과 김천석 교수, 국방신속획득기술연구원장 취임</t>
        </is>
      </c>
      <c r="C2" t="inlineStr">
        <is>
          <t>https://n.news.naver.com/mnews/article/079/0004196458?sid=102</t>
        </is>
      </c>
      <c r="D2" t="inlineStr">
        <is>
          <t>Wed, 07 Oct 2026 14:00:00 +0900</t>
        </is>
      </c>
      <c r="E2" t="inlineStr">
        <is>
          <t>이미지 없음</t>
        </is>
      </c>
    </row>
    <row r="3">
      <c r="A3" t="n">
        <v>2</v>
      </c>
      <c r="B3" t="inlineStr">
        <is>
          <t>** 전북대학교, 방산기업 15곳과 손잡고 '교육부터 채용까지' 인재양성 본...</t>
        </is>
      </c>
      <c r="C3" t="inlineStr">
        <is>
          <t>https://www.lecturernews.com/news/articleView.html?idxno=211113</t>
        </is>
      </c>
      <c r="D3" t="inlineStr">
        <is>
          <t>Fri, 25 Sep 2026 06:34:00 +0900</t>
        </is>
      </c>
      <c r="E3">
        <f>HYPERLINK("https://cdn.lecturernews.com/news/thumbnail/202609/211113_480747_3318_v150.jpg", IMAGE("https://cdn.lecturernews.com/news/thumbnail/202609/211113_480747_3318_v150.jpg"))</f>
        <v/>
      </c>
    </row>
    <row r="4">
      <c r="A4" t="n">
        <v>3</v>
      </c>
      <c r="B4" t="inlineStr">
        <is>
          <t>** 전북대, 15곳 방산기업과 ‘교육부터 채용까지' 연계</t>
        </is>
      </c>
      <c r="C4" t="inlineStr">
        <is>
          <t>https://sjbnews.com/news/news.php?number=888194</t>
        </is>
      </c>
      <c r="D4" t="inlineStr">
        <is>
          <t>Sun, 20 Sep 2026 18:24:00 +0900</t>
        </is>
      </c>
      <c r="E4">
        <f>HYPERLINK("http://sjbnews.com/data/data_file/thum_888194_202609_0.jpg", IMAGE("http://sjbnews.com/data/data_file/thum_888194_202609_0.jpg"))</f>
        <v/>
      </c>
    </row>
    <row r="5">
      <c r="A5" t="n">
        <v>4</v>
      </c>
      <c r="B5" t="inlineStr">
        <is>
          <t>** 전북대, KAI·현대로템 등 15개사와 '방산 인재 채용 직행로' 연다</t>
        </is>
      </c>
      <c r="C5" t="inlineStr">
        <is>
          <t>http://www.domin.co.kr/news/articleView.html?idxno=1569395</t>
        </is>
      </c>
      <c r="D5" t="inlineStr">
        <is>
          <t>Fri, 18 Sep 2026 15:56:00 +0900</t>
        </is>
      </c>
      <c r="E5">
        <f>HYPERLINK("http://www.domin.co.kr/news/thumbnail/202609/1569395_784381_4028_v150.jpg", IMAGE("http://www.domin.co.kr/news/thumbnail/202609/1569395_784381_4028_v150.jpg"))</f>
        <v/>
      </c>
    </row>
    <row r="6">
      <c r="A6" t="n">
        <v>5</v>
      </c>
      <c r="B6" t="inlineStr">
        <is>
          <t>** 전북대, 방산기업 15곳과 '교육부터 채용까지' 잇는다</t>
        </is>
      </c>
      <c r="C6" t="inlineStr">
        <is>
          <t>https://news.unn.net/news/articleView.html?idxno=597714</t>
        </is>
      </c>
      <c r="D6" t="inlineStr">
        <is>
          <t>Fri, 18 Sep 2026 11:00:00 +0900</t>
        </is>
      </c>
      <c r="E6">
        <f>HYPERLINK("https://cdn.news.unn.net/news/thumbnail/202609/597714_423650_5744_v150.jpg", IMAGE("https://cdn.news.unn.net/news/thumbnail/202609/597714_423650_5744_v150.jpg"))</f>
        <v/>
      </c>
    </row>
    <row r="7">
      <c r="A7" t="n">
        <v>6</v>
      </c>
      <c r="B7" t="inlineStr">
        <is>
          <t>** 전북대, 방산기업 15곳과 '인재 육성 채용연계 산학협력 모델' 본격 가동</t>
        </is>
      </c>
      <c r="C7" t="inlineStr">
        <is>
          <t>https://n.news.naver.com/mnews/article/030/0003468198?sid=102</t>
        </is>
      </c>
      <c r="D7" t="inlineStr">
        <is>
          <t>Fri, 18 Sep 2026 10:49:00 +0900</t>
        </is>
      </c>
      <c r="E7">
        <f>HYPERLINK("https://imgnews.pstatic.net/image/030/2026/09/18/0003468198_001_20260918104913691.jpg?type=w800", IMAGE("https://imgnews.pstatic.net/image/030/2026/09/18/0003468198_001_20260918104913691.jpg?type=w800"))</f>
        <v/>
      </c>
    </row>
    <row r="8">
      <c r="A8" t="n">
        <v>7</v>
      </c>
      <c r="B8" t="inlineStr">
        <is>
          <t>** 전북대학교 계약정원제 사업, 우주항공·AI·첨단방산 미래인재 양성 '비...</t>
        </is>
      </c>
      <c r="C8" t="inlineStr">
        <is>
          <t>https://www.lecturernews.com/news/articleView.html?idxno=210469</t>
        </is>
      </c>
      <c r="D8" t="inlineStr">
        <is>
          <t>Sat, 12 Sep 2026 16:34:00 +0900</t>
        </is>
      </c>
      <c r="E8">
        <f>HYPERLINK("https://cdn.lecturernews.com/news/thumbnail/202609/210469_479890_445_v150.jpg", IMAGE("https://cdn.lecturernews.com/news/thumbnail/202609/210469_479890_445_v150.jpg"))</f>
        <v/>
      </c>
    </row>
    <row r="9">
      <c r="A9" t="n">
        <v>8</v>
      </c>
      <c r="B9" t="inlineStr">
        <is>
          <t>** 전북대 첨단방위산업학과 서유정 학생.. 탈레스코리아 'STEM for ALL' 장학...</t>
        </is>
      </c>
      <c r="C9" t="inlineStr">
        <is>
          <t>https://www.veritas-a.com/news/articleView.html?idxno=623466</t>
        </is>
      </c>
      <c r="D9" t="inlineStr">
        <is>
          <t>Tue, 18 Aug 2026 12:24:00 +0900</t>
        </is>
      </c>
      <c r="E9">
        <f>HYPERLINK("https://cdn.veritas-a.com/news/thumbnail/202608/623466_536560_2318_v150.jpg", IMAGE("https://cdn.veritas-a.com/news/thumbnail/202608/623466_536560_2318_v150.jpg"))</f>
        <v/>
      </c>
    </row>
    <row r="10">
      <c r="A10" t="n">
        <v>9</v>
      </c>
      <c r="B10" t="inlineStr">
        <is>
          <t>** [전북24시]전북대, 방산인재양성 국내외 전문가 3명 교수 초빙</t>
        </is>
      </c>
      <c r="C10" t="inlineStr">
        <is>
          <t>https://n.news.naver.com/mnews/article/586/0000134883?sid=102</t>
        </is>
      </c>
      <c r="D10" t="inlineStr">
        <is>
          <t>Thu, 30 Jul 2026 16:50:00 +0900</t>
        </is>
      </c>
      <c r="E10">
        <f>HYPERLINK("https://imgnews.pstatic.net/image/586/2026/07/30/0000134883_001_20260730165012665.png?type=w800", IMAGE("https://imgnews.pstatic.net/image/586/2026/07/30/0000134883_001_20260730165012665.png?type=w800"))</f>
        <v/>
      </c>
    </row>
    <row r="11">
      <c r="A11" t="n">
        <v>10</v>
      </c>
      <c r="B11" t="inlineStr">
        <is>
          <t>** 전북대, 국내외 대표 방산기업 임원 3명 객원교수 초빙</t>
        </is>
      </c>
      <c r="C11" t="inlineStr">
        <is>
          <t>http://www.jeollailbo.com/news/articleView.html?idxno=806831</t>
        </is>
      </c>
      <c r="D11" t="inlineStr">
        <is>
          <t>Thu, 30 Jul 2026 16:42:00 +0900</t>
        </is>
      </c>
      <c r="E11">
        <f>HYPERLINK("https://cdn.jeollailbo.com/news/thumbnail/202607/806831_194490_400_v150.jpg", IMAGE("https://cdn.jeollailbo.com/news/thumbnail/202607/806831_194490_400_v150.jpg"))</f>
        <v/>
      </c>
    </row>
    <row r="12">
      <c r="A12" t="n">
        <v>11</v>
      </c>
      <c r="B12" t="inlineStr">
        <is>
          <t>** 전북대, 한화·현대로템·보잉 등 임원 객원교수 초빙…방산 인재양성 ...</t>
        </is>
      </c>
      <c r="C12" t="inlineStr">
        <is>
          <t>https://www.betanews.net/article/view/beta202607300039</t>
        </is>
      </c>
      <c r="D12" t="inlineStr">
        <is>
          <t>Thu, 30 Jul 2026 14:10:00 +0900</t>
        </is>
      </c>
      <c r="E12">
        <f>HYPERLINK("https://www.betanews.net/data/beta/image/2026/07/30/beta20260730000040.jpg", IMAGE("https://www.betanews.net/data/beta/image/2026/07/30/beta20260730000040.jpg"))</f>
        <v/>
      </c>
    </row>
    <row r="13">
      <c r="A13" t="n">
        <v>12</v>
      </c>
      <c r="B13" t="inlineStr">
        <is>
          <t>** 전북대 방산기업 임원 3명 객원교수로 초빙.. 현장형 인재양성 본격화</t>
        </is>
      </c>
      <c r="C13" t="inlineStr">
        <is>
          <t>https://www.veritas-a.com/news/articleView.html?idxno=621484</t>
        </is>
      </c>
      <c r="D13" t="inlineStr">
        <is>
          <t>Thu, 30 Jul 2026 10:30:00 +0900</t>
        </is>
      </c>
      <c r="E13">
        <f>HYPERLINK("https://cdn.veritas-a.com/news/thumbnail/202607/621484_534541_2823_v150.jpg", IMAGE("https://cdn.veritas-a.com/news/thumbnail/202607/621484_534541_2823_v150.jpg"))</f>
        <v/>
      </c>
    </row>
    <row r="14">
      <c r="A14" t="n">
        <v>13</v>
      </c>
      <c r="B14" t="inlineStr">
        <is>
          <t>입찰 막히고 양산 흔들리고…K방산의 ‘뜻밖 악재’</t>
        </is>
      </c>
      <c r="C14" t="inlineStr">
        <is>
          <t>https://n.news.naver.com/mnews/article/025/0003560643?sid=101</t>
        </is>
      </c>
      <c r="D14" t="inlineStr">
        <is>
          <t>Tue, 27 Oct 2026 00:02:00 +0900</t>
        </is>
      </c>
      <c r="E14">
        <f>HYPERLINK("https://imgnews.pstatic.net/image/025/2026/10/27/0003560643_001_20261027000428263.jpg?type=w800", IMAGE("https://imgnews.pstatic.net/image/025/2026/10/27/0003560643_001_20261027000428263.jpg?type=w800"))</f>
        <v/>
      </c>
    </row>
    <row r="15">
      <c r="A15" t="n">
        <v>14</v>
      </c>
      <c r="B15" t="inlineStr">
        <is>
          <t>입찰 막히고 양산 흔들리고…'사법 손'에 달린 혼돈의 K방산</t>
        </is>
      </c>
      <c r="C15" t="inlineStr">
        <is>
          <t>https://n.news.naver.com/mnews/article/025/0003560565?sid=101</t>
        </is>
      </c>
      <c r="D15" t="inlineStr">
        <is>
          <t>Mon, 26 Oct 2026 16:38:00 +0900</t>
        </is>
      </c>
      <c r="E15">
        <f>HYPERLINK("https://imgnews.pstatic.net/image/025/2026/10/26/0003560565_001_20261026165312091.jpg?type=w800", IMAGE("https://imgnews.pstatic.net/image/025/2026/10/26/0003560565_001_20261026165312091.jpg?type=w800"))</f>
        <v/>
      </c>
    </row>
    <row r="16">
      <c r="A16" t="n">
        <v>15</v>
      </c>
      <c r="B16" t="inlineStr">
        <is>
          <t>수은, 우주항공 용역 발주… KAI 민영화 급물살 타나</t>
        </is>
      </c>
      <c r="C16" t="inlineStr">
        <is>
          <t>https://n.news.naver.com/mnews/article/021/0002827857?sid=101</t>
        </is>
      </c>
      <c r="D16" t="inlineStr">
        <is>
          <t>Mon, 26 Oct 2026 12:04:00 +0900</t>
        </is>
      </c>
      <c r="E16">
        <f>HYPERLINK("https://imgnews.pstatic.net/image/021/2026/10/26/0002827857_001_20261026120421501.jpg?type=w800", IMAGE("https://imgnews.pstatic.net/image/021/2026/10/26/0002827857_001_20261026120421501.jpg?type=w800"))</f>
        <v/>
      </c>
    </row>
    <row r="17">
      <c r="A17" t="n">
        <v>16</v>
      </c>
      <c r="B17" t="inlineStr">
        <is>
          <t>발사체부터 위성까지…우주로 향하는 K방산</t>
        </is>
      </c>
      <c r="C17" t="inlineStr">
        <is>
          <t>https://www.g-enews.com/view.php?ud=202610231732575911ea14faf6f5_1</t>
        </is>
      </c>
      <c r="D17" t="inlineStr">
        <is>
          <t>Sun, 25 Oct 2026 17:00:00 +0900</t>
        </is>
      </c>
      <c r="E17">
        <f>HYPERLINK("https://nimage.g-enews.com/phpwas/restmb_allidxmake.php?idx=5&amp;simg=2026102317500700824ea14faf6f5175197343.jpg", IMAGE("https://nimage.g-enews.com/phpwas/restmb_allidxmake.php?idx=5&amp;simg=2026102317500700824ea14faf6f5175197343.jpg"))</f>
        <v/>
      </c>
    </row>
    <row r="18">
      <c r="A18" t="n">
        <v>17</v>
      </c>
      <c r="B18" t="inlineStr">
        <is>
          <t>[기획]실리콘밸리서도 방산 AI…SW 중심 기업 급부상</t>
        </is>
      </c>
      <c r="C18" t="inlineStr">
        <is>
          <t>https://www.m-i.kr/news/articleView.html?idxno=2009664</t>
        </is>
      </c>
      <c r="D18" t="inlineStr">
        <is>
          <t>Sun, 25 Oct 2026 13:00:00 +0900</t>
        </is>
      </c>
      <c r="E18">
        <f>HYPERLINK("https://cdn.m-i.kr/news/photo/202610/2009664_2009714_4617.jpg", IMAGE("https://cdn.m-i.kr/news/photo/202610/2009664_2009714_4617.jpg"))</f>
        <v/>
      </c>
    </row>
    <row r="19">
      <c r="A19" t="n">
        <v>18</v>
      </c>
      <c r="B19" t="inlineStr">
        <is>
          <t>K방산, 엔진 기술 자립 속도…완성 무기체계 넘어 핵심 부품까지</t>
        </is>
      </c>
      <c r="C19" t="inlineStr">
        <is>
          <t>https://www.g-enews.com/view.php?ud=202610211543005788ea14faf6f5_1</t>
        </is>
      </c>
      <c r="D19" t="inlineStr">
        <is>
          <t>Wed, 21 Oct 2026 17:02:00 +0900</t>
        </is>
      </c>
      <c r="E19">
        <f>HYPERLINK("https://nimage.g-enews.com/phpwas/restmb_allidxmake.php?idx=5&amp;simg=2026102116113109421ea14faf6f5596152215.jpg", IMAGE("https://nimage.g-enews.com/phpwas/restmb_allidxmake.php?idx=5&amp;simg=2026102116113109421ea14faf6f5596152215.jpg"))</f>
        <v/>
      </c>
    </row>
    <row r="20">
      <c r="A20" t="n">
        <v>19</v>
      </c>
      <c r="B20" t="inlineStr">
        <is>
          <t>[2026 국감]한화·KAI, 독과점 우려와 수출 시너지 기대</t>
        </is>
      </c>
      <c r="C20" t="inlineStr">
        <is>
          <t>http://www.finomy.com/news/articleView.html?idxno=264142</t>
        </is>
      </c>
      <c r="D20" t="inlineStr">
        <is>
          <t>Tue, 20 Oct 2026 17:22:00 +0900</t>
        </is>
      </c>
      <c r="E20">
        <f>HYPERLINK("https://cdn.finomy.com/news/thumbnail/202610/264142_258482_2735_v150.jpg", IMAGE("https://cdn.finomy.com/news/thumbnail/202610/264142_258482_2735_v150.jpg"))</f>
        <v/>
      </c>
    </row>
    <row r="21">
      <c r="A21" t="n">
        <v>20</v>
      </c>
      <c r="B21" t="inlineStr">
        <is>
          <t>&amp;quot;전차·자주포 잘 팔리는데&amp;quot;…K-방산 의외의 약점</t>
        </is>
      </c>
      <c r="C21" t="inlineStr">
        <is>
          <t>https://n.news.naver.com/mnews/article/215/0001269519?sid=101</t>
        </is>
      </c>
      <c r="D21" t="inlineStr">
        <is>
          <t>Sun, 18 Oct 2026 08:43:00 +0900</t>
        </is>
      </c>
      <c r="E21" t="inlineStr">
        <is>
          <t>이미지 없음</t>
        </is>
      </c>
    </row>
    <row r="22">
      <c r="A22" t="n">
        <v>21</v>
      </c>
      <c r="B22" t="inlineStr">
        <is>
          <t>드론이 현대전 바꾸는데…K-무인기 기술·신뢰성 모두 의문부호</t>
        </is>
      </c>
      <c r="C22" t="inlineStr">
        <is>
          <t>https://n.news.naver.com/mnews/article/001/0016383199?sid=101</t>
        </is>
      </c>
      <c r="D22" t="inlineStr">
        <is>
          <t>Sun, 18 Oct 2026 05:55:00 +0900</t>
        </is>
      </c>
      <c r="E22">
        <f>HYPERLINK("https://imgnews.pstatic.net/image/001/2026/10/18/PAP20261017060401009_P4_20261018055622222.jpg?type=w800", IMAGE("https://imgnews.pstatic.net/image/001/2026/10/18/PAP20261017060401009_P4_20261018055622222.jpg?type=w800"))</f>
        <v/>
      </c>
    </row>
    <row r="23">
      <c r="A23" t="n">
        <v>22</v>
      </c>
      <c r="B23" t="inlineStr">
        <is>
          <t>필리조선소 이어 美 군함 거점 노리는 한화⋯오스탈USA 본협상</t>
        </is>
      </c>
      <c r="C23" t="inlineStr">
        <is>
          <t>https://n.news.naver.com/mnews/article/031/0001066768?sid=101</t>
        </is>
      </c>
      <c r="D23" t="inlineStr">
        <is>
          <t>Fri, 16 Oct 2026 16:15:00 +0900</t>
        </is>
      </c>
      <c r="E23">
        <f>HYPERLINK("https://imgnews.pstatic.net/image/031/2026/10/16/0001066768_001_20261016161513031.jpg?type=w800", IMAGE("https://imgnews.pstatic.net/image/031/2026/10/16/0001066768_001_20261016161513031.jpg?type=w800"))</f>
        <v/>
      </c>
    </row>
    <row r="24">
      <c r="A24" t="n">
        <v>23</v>
      </c>
      <c r="B24" t="inlineStr">
        <is>
          <t>중동·아프리카 향하는 K방산…“장기 수주 열쇠는 협력 생태계”</t>
        </is>
      </c>
      <c r="C24" t="inlineStr">
        <is>
          <t>https://www.g-enews.com/view.php?ud=202610152252235960ea14faf6f5_1</t>
        </is>
      </c>
      <c r="D24" t="inlineStr">
        <is>
          <t>Fri, 16 Oct 2026 14:16:00 +0900</t>
        </is>
      </c>
      <c r="E24">
        <f>HYPERLINK("https://nimage.g-enews.com/phpwas/restmb_allidxmake.php?idx=5&amp;simg=2026101522542205758ea14faf6f5175197343.jpg", IMAGE("https://nimage.g-enews.com/phpwas/restmb_allidxmake.php?idx=5&amp;simg=2026101522542205758ea14faf6f5175197343.jpg"))</f>
        <v/>
      </c>
    </row>
    <row r="25">
      <c r="A25" t="n">
        <v>24</v>
      </c>
      <c r="B25" t="inlineStr">
        <is>
          <t>누리호 6차부터 순천서 조립…한화에어로 '홀로서기' 시험대</t>
        </is>
      </c>
      <c r="C25" t="inlineStr">
        <is>
          <t>https://dealsite.co.kr/articles/170575</t>
        </is>
      </c>
      <c r="D25" t="inlineStr">
        <is>
          <t>Wed, 14 Oct 2026 13:02:00 +0900</t>
        </is>
      </c>
      <c r="E25">
        <f>HYPERLINK("https://dtd31o1ybbmk8.cloudfront.net/photos/2026/10/13/00e95d0a3a874b6cb44602194a8bbee7/thumb.png", IMAGE("https://dtd31o1ybbmk8.cloudfront.net/photos/2026/10/13/00e95d0a3a874b6cb44602194a8bbee7/thumb.png"))</f>
        <v/>
      </c>
    </row>
    <row r="26">
      <c r="A26" t="n">
        <v>25</v>
      </c>
      <c r="B26" t="inlineStr">
        <is>
          <t>한화시스템·KAI, 연 100기 생산설비 갖추고 5672억 SAR 위성 수주전</t>
        </is>
      </c>
      <c r="C26" t="inlineStr">
        <is>
          <t>https://dealsite.co.kr/articles/170484</t>
        </is>
      </c>
      <c r="D26" t="inlineStr">
        <is>
          <t>Tue, 13 Oct 2026 10:32:00 +0900</t>
        </is>
      </c>
      <c r="E26">
        <f>HYPERLINK("https://dtd31o1ybbmk8.cloudfront.net/photos/2026/10/12/003eb85860934480b62e6bd262058237/thumb.png", IMAGE("https://dtd31o1ybbmk8.cloudfront.net/photos/2026/10/12/003eb85860934480b62e6bd262058237/thumb.png"))</f>
        <v/>
      </c>
    </row>
    <row r="27">
      <c r="A27" t="n">
        <v>26</v>
      </c>
      <c r="B27" t="inlineStr">
        <is>
          <t>전장에서 못 쓰는 AI는 무용지물…K-방산, 벤처·스타트업에 빗장 풀어...</t>
        </is>
      </c>
      <c r="C27" t="inlineStr">
        <is>
          <t>https://n.news.naver.com/mnews/article/011/0004669834?sid=110</t>
        </is>
      </c>
      <c r="D27" t="inlineStr">
        <is>
          <t>Sat, 10 Oct 2026 13:21:00 +0900</t>
        </is>
      </c>
      <c r="E27">
        <f>HYPERLINK("https://imgnews.pstatic.net/image/011/2026/10/10/0004669834_001_20261011120909224.png?type=w800", IMAGE("https://imgnews.pstatic.net/image/011/2026/10/10/0004669834_001_20261011120909224.png?type=w800"))</f>
        <v/>
      </c>
    </row>
    <row r="28">
      <c r="A28" t="n">
        <v>27</v>
      </c>
      <c r="B28" t="inlineStr">
        <is>
          <t>전북대, 차세대 전자파 차폐 소재 개발…“두께 1/3”</t>
        </is>
      </c>
      <c r="C28" t="inlineStr">
        <is>
          <t>https://n.news.naver.com/mnews/article/056/0012270638?sid=105</t>
        </is>
      </c>
      <c r="D28" t="inlineStr">
        <is>
          <t>Thu, 08 Oct 2026 22:14:00 +0900</t>
        </is>
      </c>
      <c r="E28">
        <f>HYPERLINK("https://imgnews.pstatic.net/image/056/2026/10/08/0012270638_001_20261008222420156.jpg?type=w800", IMAGE("https://imgnews.pstatic.net/image/056/2026/10/08/0012270638_001_20261008222420156.jpg?type=w800"))</f>
        <v/>
      </c>
    </row>
    <row r="29">
      <c r="A29" t="n">
        <v>28</v>
      </c>
      <c r="B29" t="inlineStr">
        <is>
          <t>누리호 성공 뒤에 ‘K방산 생태계’…발사체·위성 등 ‘우주 각축전’</t>
        </is>
      </c>
      <c r="C29" t="inlineStr">
        <is>
          <t>http://www.newstomato.com/ReadNews.aspx?no=1316082&amp;inflow=N</t>
        </is>
      </c>
      <c r="D29" t="inlineStr">
        <is>
          <t>Thu, 08 Oct 2026 14:08:00 +0900</t>
        </is>
      </c>
      <c r="E29">
        <f>HYPERLINK("https://image.newstomato.com/newsimg/2026/10/8/1316082/attach.jpg?v=202610081406", IMAGE("https://image.newstomato.com/newsimg/2026/10/8/1316082/attach.jpg?v=202610081406"))</f>
        <v/>
      </c>
    </row>
    <row r="30">
      <c r="A30" t="n">
        <v>29</v>
      </c>
      <c r="B30" t="inlineStr">
        <is>
          <t>'국방신속획득기술연구원장'에 김천석 전북대 첨단방산학과 교수 취임</t>
        </is>
      </c>
      <c r="C30" t="inlineStr">
        <is>
          <t>http://www.enewstoday.co.kr/news/articleView.html?idxno=2477863</t>
        </is>
      </c>
      <c r="D30" t="inlineStr">
        <is>
          <t>Wed, 07 Oct 2026 16:22:00 +0900</t>
        </is>
      </c>
      <c r="E30">
        <f>HYPERLINK("https://cdn.enewstoday.co.kr/news/thumbnail/202610/2477863_1321747_717_v150.jpg", IMAGE("https://cdn.enewstoday.co.kr/news/thumbnail/202610/2477863_1321747_717_v150.jpg"))</f>
        <v/>
      </c>
    </row>
    <row r="31">
      <c r="A31" t="n">
        <v>30</v>
      </c>
      <c r="B31" t="inlineStr">
        <is>
          <t>김천석 전북대 특임교수, 국방신속획득기술연구원장됐다</t>
        </is>
      </c>
      <c r="C31" t="inlineStr">
        <is>
          <t>https://n.news.naver.com/mnews/article/003/0014239161?sid=102</t>
        </is>
      </c>
      <c r="D31" t="inlineStr">
        <is>
          <t>Wed, 07 Oct 2026 14:47:00 +0900</t>
        </is>
      </c>
      <c r="E31">
        <f>HYPERLINK("https://imgnews.pstatic.net/image/003/2026/10/07/NISI20261007_0002257649_web_20261007144502_20261007144821371.jpg?type=w800", IMAGE("https://imgnews.pstatic.net/image/003/2026/10/07/NISI20261007_0002257649_web_20261007144502_20261007144821371.jpg?type=w800"))</f>
        <v/>
      </c>
    </row>
    <row r="32">
      <c r="A32" t="n">
        <v>31</v>
      </c>
      <c r="B32" t="inlineStr">
        <is>
          <t>‘국산 완제품’ 고집 꺾었다⋯ 한화 방산의 ‘트로이 목마 전략’</t>
        </is>
      </c>
      <c r="C32" t="inlineStr">
        <is>
          <t>https://www.viva100.com/article/20261006500765</t>
        </is>
      </c>
      <c r="D32" t="inlineStr">
        <is>
          <t>Wed, 07 Oct 2026 06:54:00 +0900</t>
        </is>
      </c>
      <c r="E32">
        <f>HYPERLINK("https://stqnq5ux4599.edge.naverncp.com/data2//content/image/2026/10/06/.cache/512/20261006500759.png?v=20261029045829", IMAGE("https://stqnq5ux4599.edge.naverncp.com/data2//content/image/2026/10/06/.cache/512/20261006500759.png?v=20261029045829"))</f>
        <v/>
      </c>
    </row>
    <row r="33">
      <c r="A33" t="n">
        <v>32</v>
      </c>
      <c r="B33" t="inlineStr">
        <is>
          <t>우크라이나 외교 마찰이 반증한 K방산 위상…'납기·대량생산' 주목</t>
        </is>
      </c>
      <c r="C33" t="inlineStr">
        <is>
          <t>https://www.insightkorea.co.kr/news/articleView.html?idxno=255802</t>
        </is>
      </c>
      <c r="D33" t="inlineStr">
        <is>
          <t>Fri, 02 Oct 2026 15:04:00 +0900</t>
        </is>
      </c>
      <c r="E33">
        <f>HYPERLINK("https://cdn.insightkorea.co.kr/news/thumbnail/202610/255802_267829_4146_v150.jpg", IMAGE("https://cdn.insightkorea.co.kr/news/thumbnail/202610/255802_267829_4146_v150.jpg"))</f>
        <v/>
      </c>
    </row>
    <row r="34">
      <c r="A34" t="n">
        <v>33</v>
      </c>
      <c r="B34" t="inlineStr">
        <is>
          <t>J방산, 정부 지원 업고… K방산 텃밭 노린다</t>
        </is>
      </c>
      <c r="C34" t="inlineStr">
        <is>
          <t>https://n.news.naver.com/mnews/article/023/0004001645?sid=101</t>
        </is>
      </c>
      <c r="D34" t="inlineStr">
        <is>
          <t>Fri, 02 Oct 2026 00:34:00 +0900</t>
        </is>
      </c>
      <c r="E34" t="inlineStr">
        <is>
          <t>이미지 없음</t>
        </is>
      </c>
    </row>
    <row r="35">
      <c r="A35" t="n">
        <v>34</v>
      </c>
      <c r="B35" t="inlineStr">
        <is>
          <t>황명선 의원, 신안보 혁신기업 육성 대토론회' 개최</t>
        </is>
      </c>
      <c r="C35" t="inlineStr">
        <is>
          <t>https://www.newstnt.com/news/articleView.html?idxno=720942</t>
        </is>
      </c>
      <c r="D35" t="inlineStr">
        <is>
          <t>Thu, 01 Oct 2026 00:30:00 +0900</t>
        </is>
      </c>
      <c r="E35">
        <f>HYPERLINK("https://cdn.newstnt.com/news/photo/202609/720942_724769_5844.png", IMAGE("https://cdn.newstnt.com/news/photo/202609/720942_724769_5844.png"))</f>
        <v/>
      </c>
    </row>
    <row r="36">
      <c r="A36" t="n">
        <v>35</v>
      </c>
      <c r="B36" t="inlineStr">
        <is>
          <t>K-방산, 대기업 넘어 생태계로…실증·구매·정책금융 잇는다</t>
        </is>
      </c>
      <c r="C36" t="inlineStr">
        <is>
          <t>http://www.newstomato.com/ReadNews.aspx?no=1315259&amp;inflow=N</t>
        </is>
      </c>
      <c r="D36" t="inlineStr">
        <is>
          <t>Wed, 30 Sep 2026 16:34:00 +0900</t>
        </is>
      </c>
      <c r="E36">
        <f>HYPERLINK("https://image.newstomato.com/newsimg/2026/9/30/1315259/attach.jpg?v=202609301631", IMAGE("https://image.newstomato.com/newsimg/2026/9/30/1315259/attach.jpg?v=202609301631"))</f>
        <v/>
      </c>
    </row>
    <row r="37">
      <c r="A37" t="n">
        <v>36</v>
      </c>
      <c r="B37" t="inlineStr">
        <is>
          <t>[방산 이슈 진단 (156)] 국방첨단전력법, 하위 법령에서 ‘권한·예산·...</t>
        </is>
      </c>
      <c r="C37" t="inlineStr">
        <is>
          <t>https://www.news2day.co.kr/article/20260929500296</t>
        </is>
      </c>
      <c r="D37" t="inlineStr">
        <is>
          <t>Tue, 29 Sep 2026 17:18:00 +0900</t>
        </is>
      </c>
      <c r="E37">
        <f>HYPERLINK("https://cdn.news2day.co.kr/data2/content/image/2026/09/29/.cache/512/20260929500295.png", IMAGE("https://cdn.news2day.co.kr/data2/content/image/2026/09/29/.cache/512/20260929500295.png"))</f>
        <v/>
      </c>
    </row>
    <row r="38">
      <c r="A38" t="n">
        <v>37</v>
      </c>
      <c r="B38" t="inlineStr">
        <is>
          <t>생산부터 정비까지…K-방산, 전장 밖으로 넓어지는 AX</t>
        </is>
      </c>
      <c r="C38" t="inlineStr">
        <is>
          <t>https://www.g-enews.com/view.php?ud=202609231520348026ea14faf6f5_1</t>
        </is>
      </c>
      <c r="D38" t="inlineStr">
        <is>
          <t>Fri, 25 Sep 2026 09:02:00 +0900</t>
        </is>
      </c>
      <c r="E38">
        <f>HYPERLINK("https://nimage.g-enews.com/phpwas/restmb_allidxmake.php?idx=5&amp;simg=2026092315142705424ea14faf6f5175197343.jpg", IMAGE("https://nimage.g-enews.com/phpwas/restmb_allidxmake.php?idx=5&amp;simg=2026092315142705424ea14faf6f5175197343.jpg"))</f>
        <v/>
      </c>
    </row>
    <row r="39">
      <c r="A39" t="n">
        <v>38</v>
      </c>
      <c r="B39" t="inlineStr">
        <is>
          <t>美 지상·해양 방산사업 핵심축 '한화디펜스USA'…현지화 속도</t>
        </is>
      </c>
      <c r="C39" t="inlineStr">
        <is>
          <t>https://news.mtn.co.kr/news-detail/2026092216533024563</t>
        </is>
      </c>
      <c r="D39" t="inlineStr">
        <is>
          <t>Tue, 22 Sep 2026 17:50:00 +0900</t>
        </is>
      </c>
      <c r="E39">
        <f>HYPERLINK("https://files.mtn.co.kr/upload/article/2026/09/22/2026092216533024563_00_228.jpg", IMAGE("https://files.mtn.co.kr/upload/article/2026/09/22/2026092216533024563_00_228.jpg"))</f>
        <v/>
      </c>
    </row>
    <row r="40">
      <c r="A40" t="n">
        <v>39</v>
      </c>
      <c r="B40" t="inlineStr">
        <is>
          <t>전북대, 방산기업 15곳과 맞춤형 인재양성 프로그램 운영</t>
        </is>
      </c>
      <c r="C40" t="inlineStr">
        <is>
          <t>https://n.news.naver.com/mnews/article/003/0014200391?sid=102</t>
        </is>
      </c>
      <c r="D40" t="inlineStr">
        <is>
          <t>Fri, 18 Sep 2026 16:41:00 +0900</t>
        </is>
      </c>
      <c r="E40">
        <f>HYPERLINK("https://imgnews.pstatic.net/image/003/2026/09/18/NISI20260918_0002243729_web_20260918163923_20260918164224349.jpg?type=w800", IMAGE("https://imgnews.pstatic.net/image/003/2026/09/18/NISI20260918_0002243729_web_20260918163923_20260918164224349.jpg?type=w800"))</f>
        <v/>
      </c>
    </row>
    <row r="41">
      <c r="A41" t="n">
        <v>40</v>
      </c>
      <c r="B41" t="inlineStr">
        <is>
          <t>첨단 드론 잇단 추락…방산 ‘무인 경쟁력’ 우려 확대</t>
        </is>
      </c>
      <c r="C41" t="inlineStr">
        <is>
          <t>http://www.newstomato.com/ReadNews.aspx?no=1314054&amp;inflow=N</t>
        </is>
      </c>
      <c r="D41" t="inlineStr">
        <is>
          <t>Thu, 17 Sep 2026 15:00:00 +0900</t>
        </is>
      </c>
      <c r="E41">
        <f>HYPERLINK("https://image.newstomato.com/newsimg/2026/9/17/1314054/attach.jpg?v=202609180945", IMAGE("https://image.newstomato.com/newsimg/2026/9/17/1314054/attach.jpg?v=202609180945"))</f>
        <v/>
      </c>
    </row>
    <row r="42">
      <c r="A42" t="n">
        <v>41</v>
      </c>
      <c r="B42" t="inlineStr">
        <is>
          <t>&amp;quot;민주당 맹목적 지지 벗어나 전북발전 성과 요구하자&amp;quot;…오창환 전북대 ...</t>
        </is>
      </c>
      <c r="C42" t="inlineStr">
        <is>
          <t>https://n.news.naver.com/mnews/article/002/0002457143?sid=102</t>
        </is>
      </c>
      <c r="D42" t="inlineStr">
        <is>
          <t>Thu, 17 Sep 2026 11:00:00 +0900</t>
        </is>
      </c>
      <c r="E42">
        <f>HYPERLINK("https://imgnews.pstatic.net/image/002/2026/09/17/0002457143_001_20260917110009733.jpg?type=w800", IMAGE("https://imgnews.pstatic.net/image/002/2026/09/17/0002457143_001_20260917110009733.jpg?type=w800"))</f>
        <v/>
      </c>
    </row>
    <row r="43">
      <c r="A43" t="n">
        <v>42</v>
      </c>
      <c r="B43" t="inlineStr">
        <is>
          <t>K방산, 100조 수주에도 점유율 2%…&amp;quot;체급 키워 메인 시장 가야&amp;quot;</t>
        </is>
      </c>
      <c r="C43" t="inlineStr">
        <is>
          <t>https://www.insightkorea.co.kr/news/articleView.html?idxno=254595</t>
        </is>
      </c>
      <c r="D43" t="inlineStr">
        <is>
          <t>Tue, 15 Sep 2026 16:40:00 +0900</t>
        </is>
      </c>
      <c r="E43">
        <f>HYPERLINK("https://cdn.insightkorea.co.kr/news/thumbnail/202609/254595_266314_382_v150.jpg", IMAGE("https://cdn.insightkorea.co.kr/news/thumbnail/202609/254595_266314_382_v150.jpg"))</f>
        <v/>
      </c>
    </row>
    <row r="44">
      <c r="A44" t="n">
        <v>43</v>
      </c>
      <c r="B44" t="inlineStr">
        <is>
          <t>사거리 100㎞, 분당 11발...차세대 K9 자주포의 조건은</t>
        </is>
      </c>
      <c r="C44" t="inlineStr">
        <is>
          <t>https://n.news.naver.com/mnews/article/469/0000953681?sid=100</t>
        </is>
      </c>
      <c r="D44" t="inlineStr">
        <is>
          <t>Sun, 13 Sep 2026 10:00:00 +0900</t>
        </is>
      </c>
      <c r="E44">
        <f>HYPERLINK("https://imgnews.pstatic.net/image/469/2026/09/13/0000953681_001_20260913100015355.jpg?type=w800", IMAGE("https://imgnews.pstatic.net/image/469/2026/09/13/0000953681_001_20260913100015355.jpg?type=w800"))</f>
        <v/>
      </c>
    </row>
    <row r="45">
      <c r="A45" t="n">
        <v>44</v>
      </c>
      <c r="B45" t="inlineStr">
        <is>
          <t>김동관 한화 부회장, 크로아티아도 뚫었다…천무, 6400억 '수주'</t>
        </is>
      </c>
      <c r="C45" t="inlineStr">
        <is>
          <t>https://www.insightkorea.co.kr/news/articleView.html?idxno=254410</t>
        </is>
      </c>
      <c r="D45" t="inlineStr">
        <is>
          <t>Fri, 11 Sep 2026 16:58:00 +0900</t>
        </is>
      </c>
      <c r="E45">
        <f>HYPERLINK("https://cdn.insightkorea.co.kr/news/thumbnail/202609/254410_266038_266_v150.jpg", IMAGE("https://cdn.insightkorea.co.kr/news/thumbnail/202609/254410_266038_266_v150.jpg"))</f>
        <v/>
      </c>
    </row>
    <row r="46">
      <c r="A46" t="n">
        <v>45</v>
      </c>
      <c r="B46" t="inlineStr">
        <is>
          <t>[전북 24시] 전북대ㆍ공군미사일방어사령부, 방공·미사일방어 역량 강...</t>
        </is>
      </c>
      <c r="C46" t="inlineStr">
        <is>
          <t>https://n.news.naver.com/mnews/article/586/0000138022?sid=102</t>
        </is>
      </c>
      <c r="D46" t="inlineStr">
        <is>
          <t>Fri, 11 Sep 2026 16:35:00 +0900</t>
        </is>
      </c>
      <c r="E46">
        <f>HYPERLINK("https://imgnews.pstatic.net/image/586/2026/09/11/0000138022_001_20260911163511054.jpg?type=w800", IMAGE("https://imgnews.pstatic.net/image/586/2026/09/11/0000138022_001_20260911163511054.jpg?type=w800"))</f>
        <v/>
      </c>
    </row>
    <row r="47">
      <c r="A47" t="n">
        <v>46</v>
      </c>
      <c r="B47" t="inlineStr">
        <is>
          <t>전북대·미사일방어사령부, 미래 방공 역량 강화 '맞손'</t>
        </is>
      </c>
      <c r="C47" t="inlineStr">
        <is>
          <t>https://n.news.naver.com/mnews/article/003/0014184908?sid=102</t>
        </is>
      </c>
      <c r="D47" t="inlineStr">
        <is>
          <t>Fri, 11 Sep 2026 14:59:00 +0900</t>
        </is>
      </c>
      <c r="E47">
        <f>HYPERLINK("https://imgnews.pstatic.net/image/003/2026/09/11/NISI20260911_0002236837_web_20260911145505_20260911150047363.jpg?type=w800", IMAGE("https://imgnews.pstatic.net/image/003/2026/09/11/NISI20260911_0002236837_web_20260911145505_20260911150047363.jpg?type=w800"))</f>
        <v/>
      </c>
    </row>
    <row r="48">
      <c r="A48" t="n">
        <v>47</v>
      </c>
      <c r="B48" t="inlineStr">
        <is>
          <t>전북대 국방산업연구소-공군미사일방어사령부, 국방과학기술 연구·전문...</t>
        </is>
      </c>
      <c r="C48" t="inlineStr">
        <is>
          <t>https://n.news.naver.com/mnews/article/030/0003465967?sid=102</t>
        </is>
      </c>
      <c r="D48" t="inlineStr">
        <is>
          <t>Fri, 11 Sep 2026 14:13:00 +0900</t>
        </is>
      </c>
      <c r="E48">
        <f>HYPERLINK("https://imgnews.pstatic.net/image/030/2026/09/11/0003465967_001_20260911141311347.jpg?type=w800", IMAGE("https://imgnews.pstatic.net/image/030/2026/09/11/0003465967_001_20260911141311347.jpg?type=w800"))</f>
        <v/>
      </c>
    </row>
    <row r="49">
      <c r="A49" t="n">
        <v>48</v>
      </c>
      <c r="B49" t="inlineStr">
        <is>
          <t>13년 만에 다시 태국…한화오션, 함정 수출 사업 재개에 후속 사업 기대</t>
        </is>
      </c>
      <c r="C49" t="inlineStr">
        <is>
          <t>https://www.g-enews.com/view.php?ud=202609091411036783ea14faf6f5_1</t>
        </is>
      </c>
      <c r="D49" t="inlineStr">
        <is>
          <t>Wed, 09 Sep 2026 18:00:00 +0900</t>
        </is>
      </c>
      <c r="E49">
        <f>HYPERLINK("https://nimage.g-enews.com/phpwas/restmb_allidxmake.php?idx=5&amp;simg=2026090914155308954ea14faf6f5175197343.jpg", IMAGE("https://nimage.g-enews.com/phpwas/restmb_allidxmake.php?idx=5&amp;simg=2026090914155308954ea14faf6f5175197343.jpg"))</f>
        <v/>
      </c>
    </row>
    <row r="50">
      <c r="A50" t="n">
        <v>49</v>
      </c>
      <c r="B50" t="inlineStr">
        <is>
          <t>[기획]수출 늘어난 K-방산, 협력사 지원도 늘렸다</t>
        </is>
      </c>
      <c r="C50" t="inlineStr">
        <is>
          <t>https://www.m-i.kr/news/articleView.html?idxno=1411337</t>
        </is>
      </c>
      <c r="D50" t="inlineStr">
        <is>
          <t>Tue, 08 Sep 2026 15:30:00 +0900</t>
        </is>
      </c>
      <c r="E50">
        <f>HYPERLINK("https://cdn.m-i.kr/news/photo/202609/1411337_1199637_2253.jpg", IMAGE("https://cdn.m-i.kr/news/photo/202609/1411337_1199637_2253.jpg"))</f>
        <v/>
      </c>
    </row>
    <row r="51">
      <c r="A51" t="n">
        <v>50</v>
      </c>
      <c r="B51" t="inlineStr">
        <is>
          <t>양오봉 전북대 총장, ‘전고를 빛낸 사람들 상' 수상</t>
        </is>
      </c>
      <c r="C51" t="inlineStr">
        <is>
          <t>https://sjbnews.com/news/news.php?number=887083</t>
        </is>
      </c>
      <c r="D51" t="inlineStr">
        <is>
          <t>Tue, 08 Sep 2026 00:37:00 +0900</t>
        </is>
      </c>
      <c r="E51">
        <f>HYPERLINK("http://sjbnews.com/data/data_file/thum_887083_202609_0.jpg", IMAGE("http://sjbnews.com/data/data_file/thum_887083_202609_0.jpg"))</f>
        <v/>
      </c>
    </row>
    <row r="52">
      <c r="A52" t="n">
        <v>51</v>
      </c>
      <c r="B52" t="inlineStr">
        <is>
          <t>전차 넘어 항공우주로…현대로템, 종합방산 도약 속도</t>
        </is>
      </c>
      <c r="C52" t="inlineStr">
        <is>
          <t>https://www.g-enews.com/view.php?ud=202609071405515543ea14faf6f5_1</t>
        </is>
      </c>
      <c r="D52" t="inlineStr">
        <is>
          <t>Mon, 07 Sep 2026 19:32:00 +0900</t>
        </is>
      </c>
      <c r="E52">
        <f>HYPERLINK("https://nimage.g-enews.com/phpwas/restmb_allidxmake.php?idx=5&amp;simg=2026090716180300410ea14faf6f517512315593.jpg", IMAGE("https://nimage.g-enews.com/phpwas/restmb_allidxmake.php?idx=5&amp;simg=2026090716180300410ea14faf6f517512315593.jpg"))</f>
        <v/>
      </c>
    </row>
    <row r="53">
      <c r="A53" t="n">
        <v>52</v>
      </c>
      <c r="B53" t="inlineStr">
        <is>
          <t>한화에어로, 무인차 아리온스멧 군 전력화 시동</t>
        </is>
      </c>
      <c r="C53" t="inlineStr">
        <is>
          <t>https://n.news.naver.com/mnews/article/417/0001157611?sid=101</t>
        </is>
      </c>
      <c r="D53" t="inlineStr">
        <is>
          <t>Mon, 07 Sep 2026 17:46:00 +0900</t>
        </is>
      </c>
      <c r="E53">
        <f>HYPERLINK("https://imgnews.pstatic.net/image/417/2026/09/07/0001157611_001_20260907204017184.jpg?type=w800", IMAGE("https://imgnews.pstatic.net/image/417/2026/09/07/0001157611_001_20260907204017184.jpg?type=w800"))</f>
        <v/>
      </c>
    </row>
    <row r="54">
      <c r="A54" t="n">
        <v>53</v>
      </c>
      <c r="B54" t="inlineStr">
        <is>
          <t>[전북 24시] 전북대, 2027학년도 수시모집 총 3507명 선발</t>
        </is>
      </c>
      <c r="C54" t="inlineStr">
        <is>
          <t>https://n.news.naver.com/mnews/article/586/0000137681?sid=102</t>
        </is>
      </c>
      <c r="D54" t="inlineStr">
        <is>
          <t>Mon, 07 Sep 2026 17:44:00 +0900</t>
        </is>
      </c>
      <c r="E54">
        <f>HYPERLINK("https://imgnews.pstatic.net/image/586/2026/09/07/0000137681_001_20260907174409598.jpg?type=w800", IMAGE("https://imgnews.pstatic.net/image/586/2026/09/07/0000137681_001_20260907174409598.jpg?type=w800"))</f>
        <v/>
      </c>
    </row>
    <row r="55">
      <c r="A55" t="n">
        <v>54</v>
      </c>
      <c r="B55" t="inlineStr">
        <is>
          <t>전북대 계약정원제 활용사업, 2차년도 산학 프로젝트 본격화</t>
        </is>
      </c>
      <c r="C55" t="inlineStr">
        <is>
          <t>https://news.unn.net/news/articleView.html?idxno=597010</t>
        </is>
      </c>
      <c r="D55" t="inlineStr">
        <is>
          <t>Mon, 07 Sep 2026 11:28:00 +0900</t>
        </is>
      </c>
      <c r="E55">
        <f>HYPERLINK("https://cdn.news.unn.net/news/thumbnail/202609/597010_422691_2637_v150.jpg", IMAGE("https://cdn.news.unn.net/news/thumbnail/202609/597010_422691_2637_v150.jpg"))</f>
        <v/>
      </c>
    </row>
    <row r="56">
      <c r="A56" t="n">
        <v>55</v>
      </c>
      <c r="B56" t="inlineStr">
        <is>
          <t>KAI 경영참여 나선 한화…수출 시너지 기대 속 공급망 공정성 우려</t>
        </is>
      </c>
      <c r="C56" t="inlineStr">
        <is>
          <t>https://www.g-enews.com/view.php?ud=202609041512003756ea14faf6f5_1</t>
        </is>
      </c>
      <c r="D56" t="inlineStr">
        <is>
          <t>Sun, 06 Sep 2026 18:26:00 +0900</t>
        </is>
      </c>
      <c r="E56">
        <f>HYPERLINK("https://nimage.g-enews.com/phpwas/restmb_allidxmake.php?idx=5&amp;simg=2026090416034800219ea14faf6f5175197343.jpg", IMAGE("https://nimage.g-enews.com/phpwas/restmb_allidxmake.php?idx=5&amp;simg=2026090416034800219ea14faf6f5175197343.jpg"))</f>
        <v/>
      </c>
    </row>
    <row r="57">
      <c r="A57" t="n">
        <v>56</v>
      </c>
      <c r="B57" t="inlineStr">
        <is>
          <t>‘과학수도’ 대전에 소부장 특화단지… K방산에 날개 단다</t>
        </is>
      </c>
      <c r="C57" t="inlineStr">
        <is>
          <t>https://n.news.naver.com/mnews/article/021/0002815979?sid=102</t>
        </is>
      </c>
      <c r="D57" t="inlineStr">
        <is>
          <t>Thu, 03 Sep 2026 09:19:00 +0900</t>
        </is>
      </c>
      <c r="E57">
        <f>HYPERLINK("https://imgnews.pstatic.net/image/021/2026/09/03/0002815979_001_20260903100317784.jpg?type=w800", IMAGE("https://imgnews.pstatic.net/image/021/2026/09/03/0002815979_001_20260903100317784.jpg?type=w800"))</f>
        <v/>
      </c>
    </row>
    <row r="58">
      <c r="A58" t="n">
        <v>57</v>
      </c>
      <c r="B58" t="inlineStr">
        <is>
          <t>한화그룹의 KAI 인수 추진 둘러싼 갑론을박, '규모의 경제' vs '경쟁 훼손...</t>
        </is>
      </c>
      <c r="C58" t="inlineStr">
        <is>
          <t>https://www.businesspost.co.kr/BP?command=article_view&amp;num=446243</t>
        </is>
      </c>
      <c r="D58" t="inlineStr">
        <is>
          <t>Wed, 02 Sep 2026 17:44:00 +0900</t>
        </is>
      </c>
      <c r="E58" t="inlineStr">
        <is>
          <t>이미지 없음</t>
        </is>
      </c>
    </row>
    <row r="59">
      <c r="A59" t="n">
        <v>58</v>
      </c>
      <c r="B59" t="inlineStr">
        <is>
          <t>전북대 연구진, 두께 3분의 1로 줄인 전자파 차폐 소재 개발</t>
        </is>
      </c>
      <c r="C59" t="inlineStr">
        <is>
          <t>https://n.news.naver.com/mnews/article/030/0003473760?sid=102</t>
        </is>
      </c>
      <c r="D59" t="inlineStr">
        <is>
          <t>Sun, 11 Oct 2026 09:01:00 +0900</t>
        </is>
      </c>
      <c r="E59">
        <f>HYPERLINK("https://imgnews.pstatic.net/image/030/2026/10/11/0003473760_001_20261011192715072.jpg?type=w800", IMAGE("https://imgnews.pstatic.net/image/030/2026/10/11/0003473760_001_20261011192715072.jpg?type=w800"))</f>
        <v/>
      </c>
    </row>
    <row r="60">
      <c r="A60" t="n">
        <v>59</v>
      </c>
      <c r="B60" t="inlineStr">
        <is>
          <t>전북대 중재적메카노바이오기술융합연구센터 두께 3분의1로 줄인 전자파...</t>
        </is>
      </c>
      <c r="C60" t="inlineStr">
        <is>
          <t>https://www.veritas-a.com/news/articleView.html?idxno=631054</t>
        </is>
      </c>
      <c r="D60" t="inlineStr">
        <is>
          <t>Thu, 08 Oct 2026 10:38:00 +0900</t>
        </is>
      </c>
      <c r="E60">
        <f>HYPERLINK("https://cdn.veritas-a.com/news/thumbnail/202610/631054_545064_3633_v150.jpg", IMAGE("https://cdn.veritas-a.com/news/thumbnail/202610/631054_545064_3633_v150.jpg"))</f>
        <v/>
      </c>
    </row>
    <row r="61">
      <c r="A61" t="n">
        <v>60</v>
      </c>
      <c r="B61" t="inlineStr">
        <is>
          <t>전북대 이근회 석사과정생 차세대 RF 결합기 설계로 우수논문상.. '적은...</t>
        </is>
      </c>
      <c r="C61" t="inlineStr">
        <is>
          <t>https://www.veritas-a.com/news/articleView.html?idxno=628473</t>
        </is>
      </c>
      <c r="D61" t="inlineStr">
        <is>
          <t>Thu, 17 Sep 2026 14:36:00 +0900</t>
        </is>
      </c>
      <c r="E61">
        <f>HYPERLINK("https://cdn.veritas-a.com/news/thumbnail/202609/628473_542309_3415_v150.jpg", IMAGE("https://cdn.veritas-a.com/news/thumbnail/202609/628473_542309_3415_v150.jpg"))</f>
        <v/>
      </c>
    </row>
    <row r="62">
      <c r="A62" t="n">
        <v>61</v>
      </c>
      <c r="B62" t="inlineStr">
        <is>
          <t>전북대 이상명 학생 연구장려금지원사업 선정.. '황계 화학작용제 검지...</t>
        </is>
      </c>
      <c r="C62" t="inlineStr">
        <is>
          <t>https://www.veritas-a.com/news/articleView.html?idxno=627410</t>
        </is>
      </c>
      <c r="D62" t="inlineStr">
        <is>
          <t>Fri, 11 Sep 2026 12:30:00 +0900</t>
        </is>
      </c>
      <c r="E62">
        <f>HYPERLINK("https://cdn.veritas-a.com/news/thumbnail/202609/627410_540905_2824_v150.jpg", IMAGE("https://cdn.veritas-a.com/news/thumbnail/202609/627410_540905_2824_v150.jpg"))</f>
        <v/>
      </c>
    </row>
    <row r="63">
      <c r="A63" t="n">
        <v>62</v>
      </c>
      <c r="B63" t="inlineStr">
        <is>
          <t>신안보 혁신기업 육성 위한 '신속 조달체계 도입', 향후 보완 과제는</t>
        </is>
      </c>
      <c r="C63" t="inlineStr">
        <is>
          <t>https://www.ajunews.com/view/20260908164442351</t>
        </is>
      </c>
      <c r="D63" t="inlineStr">
        <is>
          <t>Tue, 08 Sep 2026 17:32:00 +0900</t>
        </is>
      </c>
      <c r="E63">
        <f>HYPERLINK("https://image.ajunews.com/content/image/2026/09/08/20260908164909547974.jpg", IMAGE("https://image.ajunews.com/content/image/2026/09/08/20260908164909547974.jpg"))</f>
        <v/>
      </c>
    </row>
    <row r="64">
      <c r="A64" t="n">
        <v>63</v>
      </c>
      <c r="B64" t="inlineStr">
        <is>
          <t>전북대, 극한환경용 차세대 반도체 소자 개발</t>
        </is>
      </c>
      <c r="C64" t="inlineStr">
        <is>
          <t>https://www.naeil.com/news/read/601270?ref=naver</t>
        </is>
      </c>
      <c r="D64" t="inlineStr">
        <is>
          <t>Sun, 06 Sep 2026 22:02:00 +0900</t>
        </is>
      </c>
      <c r="E64">
        <f>HYPERLINK("https://static.naeil.com/img/rect_logo.jpg", IMAGE("https://static.naeil.com/img/rect_logo.jpg"))</f>
        <v/>
      </c>
    </row>
    <row r="65">
      <c r="A65" t="n">
        <v>64</v>
      </c>
      <c r="B65" t="inlineStr">
        <is>
          <t>[전북 24시] 전북대 배학열 교수팀, 극한환경서 활용할 차세대반도체 소...</t>
        </is>
      </c>
      <c r="C65" t="inlineStr">
        <is>
          <t>https://n.news.naver.com/mnews/article/586/0000137405?sid=102</t>
        </is>
      </c>
      <c r="D65" t="inlineStr">
        <is>
          <t>Thu, 03 Sep 2026 15:50:00 +0900</t>
        </is>
      </c>
      <c r="E65">
        <f>HYPERLINK("https://imgnews.pstatic.net/image/586/2026/09/03/0000137405_001_20260903155010615.jpg?type=w800", IMAGE("https://imgnews.pstatic.net/image/586/2026/09/03/0000137405_001_20260903155010615.jpg?type=w800"))</f>
        <v/>
      </c>
    </row>
    <row r="66">
      <c r="A66" t="n">
        <v>65</v>
      </c>
      <c r="B66" t="inlineStr">
        <is>
          <t>전북대 배학열 교수팀 초광대역갭 페로브스카이트 반도체 소자 개발.. '...</t>
        </is>
      </c>
      <c r="C66" t="inlineStr">
        <is>
          <t>https://www.veritas-a.com/news/articleView.html?idxno=626020</t>
        </is>
      </c>
      <c r="D66" t="inlineStr">
        <is>
          <t>Thu, 03 Sep 2026 12:16:00 +0900</t>
        </is>
      </c>
      <c r="E66">
        <f>HYPERLINK("https://cdn.veritas-a.com/news/thumbnail/202609/626020_539140_139_v150.jpg", IMAGE("https://cdn.veritas-a.com/news/thumbnail/202609/626020_539140_139_v150.jpg"))</f>
        <v/>
      </c>
    </row>
    <row r="67">
      <c r="A67" t="n">
        <v>66</v>
      </c>
      <c r="B67" t="inlineStr">
        <is>
          <t>[대전 24시] 대전시, '방산 소부장 특화단지 지정' 총력</t>
        </is>
      </c>
      <c r="C67" t="inlineStr">
        <is>
          <t>https://n.news.naver.com/mnews/article/586/0000136760?sid=102</t>
        </is>
      </c>
      <c r="D67" t="inlineStr">
        <is>
          <t>Wed, 26 Aug 2026 10:10:00 +0900</t>
        </is>
      </c>
      <c r="E67">
        <f>HYPERLINK("https://imgnews.pstatic.net/image/586/2026/08/26/0000136760_001_20260826101014760.jpg?type=w800", IMAGE("https://imgnews.pstatic.net/image/586/2026/08/26/0000136760_001_20260826101014760.jpg?type=w800"))</f>
        <v/>
      </c>
    </row>
    <row r="68">
      <c r="A68" t="n">
        <v>67</v>
      </c>
      <c r="B68" t="inlineStr">
        <is>
          <t>대전시-대전 국회의원, '방산소부장 특화단지 유치' 국회 토론회</t>
        </is>
      </c>
      <c r="C68" t="inlineStr">
        <is>
          <t>https://www.goodmorningcc.com/news/articleView.html?idxno=451224</t>
        </is>
      </c>
      <c r="D68" t="inlineStr">
        <is>
          <t>Tue, 25 Aug 2026 19:32:00 +0900</t>
        </is>
      </c>
      <c r="E68">
        <f>HYPERLINK("https://cdn.goodmorningcc.com/news/thumbnail/202608/451224_466459_2226_v150.jpg", IMAGE("https://cdn.goodmorningcc.com/news/thumbnail/202608/451224_466459_2226_v150.jpg"))</f>
        <v/>
      </c>
    </row>
    <row r="69">
      <c r="A69" t="n">
        <v>68</v>
      </c>
      <c r="B69" t="inlineStr">
        <is>
          <t>대전시, 방산 소부장 특화단지 지정 위한 국회 토론회 개최</t>
        </is>
      </c>
      <c r="C69" t="inlineStr">
        <is>
          <t>https://www.ccdn.co.kr/news/articleView.html?idxno=1095671</t>
        </is>
      </c>
      <c r="D69" t="inlineStr">
        <is>
          <t>Tue, 25 Aug 2026 18:23:00 +0900</t>
        </is>
      </c>
      <c r="E69">
        <f>HYPERLINK("https://cdn.ccdn.co.kr/news/thumbnail/202608/1095671_606589_1009_v150.jpg", IMAGE("https://cdn.ccdn.co.kr/news/thumbnail/202608/1095671_606589_1009_v150.jpg"))</f>
        <v/>
      </c>
    </row>
    <row r="70">
      <c r="A70" t="n">
        <v>69</v>
      </c>
      <c r="B70" t="inlineStr">
        <is>
          <t>대전시, '정부·기업·연구기관 국회에 모였다'... 방산 특화단지 필요...</t>
        </is>
      </c>
      <c r="C70" t="inlineStr">
        <is>
          <t>https://www.newsworker.co.kr/news/articleView.html?idxno=500829</t>
        </is>
      </c>
      <c r="D70" t="inlineStr">
        <is>
          <t>Tue, 25 Aug 2026 17:30:00 +0900</t>
        </is>
      </c>
      <c r="E70">
        <f>HYPERLINK("https://cdn.newsworker.co.kr/news/photo/202608/500829_500910_198.jpg", IMAGE("https://cdn.newsworker.co.kr/news/photo/202608/500829_500910_198.jpg"))</f>
        <v/>
      </c>
    </row>
    <row r="71">
      <c r="A71" t="n">
        <v>70</v>
      </c>
      <c r="B71" t="inlineStr">
        <is>
          <t>[K방산은 어떻게 세계를 뚫었나]①폴란드서 중동 거쳐 미국까지…4년 만...</t>
        </is>
      </c>
      <c r="C71" t="inlineStr">
        <is>
          <t>http://www.newstomato.com/ReadNews.aspx?no=1311286&amp;inflow=N</t>
        </is>
      </c>
      <c r="D71" t="inlineStr">
        <is>
          <t>Tue, 25 Aug 2026 17:20:00 +0900</t>
        </is>
      </c>
      <c r="E71" t="inlineStr">
        <is>
          <t>이미지 없음</t>
        </is>
      </c>
    </row>
    <row r="72">
      <c r="A72" t="n">
        <v>71</v>
      </c>
      <c r="B72" t="inlineStr">
        <is>
          <t>대전, 방산 소부장 생태계 구축 나선다...국회 토론회서 경쟁력 점검</t>
        </is>
      </c>
      <c r="C72" t="inlineStr">
        <is>
          <t>https://hbnpress.com/news/view/1065597442480538</t>
        </is>
      </c>
      <c r="D72" t="inlineStr">
        <is>
          <t>Tue, 25 Aug 2026 16:34:00 +0900</t>
        </is>
      </c>
      <c r="E72">
        <f>HYPERLINK("https://hbnpress.com/news/data/20260825/p1065597442480538_273_thum.jpg", IMAGE("https://hbnpress.com/news/data/20260825/p1065597442480538_273_thum.jpg"))</f>
        <v/>
      </c>
    </row>
    <row r="73">
      <c r="A73" t="n">
        <v>72</v>
      </c>
      <c r="B73" t="inlineStr">
        <is>
          <t>대전시, 방산 소부장 특화단지 유치전...'공감대 확산' 총력</t>
        </is>
      </c>
      <c r="C73" t="inlineStr">
        <is>
          <t>https://www.newstnt.com/news/articleView.html?idxno=715180</t>
        </is>
      </c>
      <c r="D73" t="inlineStr">
        <is>
          <t>Tue, 25 Aug 2026 16:18:00 +0900</t>
        </is>
      </c>
      <c r="E73">
        <f>HYPERLINK("https://cdn.newstnt.com/news/photo/202608/715180_717908_1554.jpg", IMAGE("https://cdn.newstnt.com/news/photo/202608/715180_717908_1554.jpg"))</f>
        <v/>
      </c>
    </row>
    <row r="74">
      <c r="A74" t="n">
        <v>73</v>
      </c>
      <c r="B74" t="inlineStr">
        <is>
          <t>대전시, 방산 소부장 특화단지 지정 총력전…&amp;quot;국방 역량·과학기술 등 집...</t>
        </is>
      </c>
      <c r="C74" t="inlineStr">
        <is>
          <t>http://www.chungnamilbo.co.kr/news/articleView.html?idxno=905751</t>
        </is>
      </c>
      <c r="D74" t="inlineStr">
        <is>
          <t>Tue, 25 Aug 2026 16:12:00 +0900</t>
        </is>
      </c>
      <c r="E74">
        <f>HYPERLINK("https://cdn.chungnamilbo.co.kr/news/thumbnail/202608/905751_483940_3556_v150.jpg", IMAGE("https://cdn.chungnamilbo.co.kr/news/thumbnail/202608/905751_483940_3556_v150.jpg"))</f>
        <v/>
      </c>
    </row>
    <row r="75">
      <c r="A75" t="n">
        <v>74</v>
      </c>
      <c r="B75" t="inlineStr">
        <is>
          <t>HD현대, 미국에 조선소 짓는다…2029년 가동 목표</t>
        </is>
      </c>
      <c r="C75" t="inlineStr">
        <is>
          <t>https://news.mtn.co.kr/article/2026102314395324103</t>
        </is>
      </c>
      <c r="D75" t="inlineStr">
        <is>
          <t>Fri, 23 Oct 2026 15:10:00 +0900</t>
        </is>
      </c>
      <c r="E75">
        <f>HYPERLINK("https://files.mtn.co.kr/article-asset/2026/10/23/34719cd0-f230-4df8-9d6e-66e14ebf5cd6.jpg", IMAGE("https://files.mtn.co.kr/article-asset/2026/10/23/34719cd0-f230-4df8-9d6e-66e14ebf5cd6.jpg"))</f>
        <v/>
      </c>
    </row>
    <row r="76">
      <c r="A76" t="n">
        <v>75</v>
      </c>
      <c r="B76" t="inlineStr">
        <is>
          <t>성과 낸 전북대 탈락…'서울대 10개' 잡음</t>
        </is>
      </c>
      <c r="C76" t="inlineStr">
        <is>
          <t>http://www.domin.co.kr/news/articleView.html?idxno=1572691</t>
        </is>
      </c>
      <c r="D76" t="inlineStr">
        <is>
          <t>Wed, 21 Oct 2026 18:34:00 +0900</t>
        </is>
      </c>
      <c r="E76">
        <f>HYPERLINK("http://www.domin.co.kr/news/thumbnail/202610/1572691_789152_3234_v150.jpg", IMAGE("http://www.domin.co.kr/news/thumbnail/202610/1572691_789152_3234_v150.jpg"))</f>
        <v/>
      </c>
    </row>
    <row r="77">
      <c r="A77" t="n">
        <v>76</v>
      </c>
      <c r="B77" t="inlineStr">
        <is>
          <t>안규백 &amp;quot;발군의 전북대 '서울대 10개 만들기' 탈락 납득 안돼&amp;quot;</t>
        </is>
      </c>
      <c r="C77" t="inlineStr">
        <is>
          <t>https://n.news.naver.com/mnews/article/421/0009241868?sid=102</t>
        </is>
      </c>
      <c r="D77" t="inlineStr">
        <is>
          <t>Wed, 21 Oct 2026 15:04:00 +0900</t>
        </is>
      </c>
      <c r="E77">
        <f>HYPERLINK("https://imgnews.pstatic.net/image/421/2026/10/21/0009241868_001_20261021150508798.jpg?type=w800", IMAGE("https://imgnews.pstatic.net/image/421/2026/10/21/0009241868_001_20261021150508798.jpg?type=w800"))</f>
        <v/>
      </c>
    </row>
    <row r="78">
      <c r="A78" t="n">
        <v>77</v>
      </c>
      <c r="B78" t="inlineStr">
        <is>
          <t>멕시코까지 현지 협력 넓히는 KAI…FA-50 중남미 진출 기반 확대</t>
        </is>
      </c>
      <c r="C78" t="inlineStr">
        <is>
          <t>https://www.g-enews.com/view.php?ud=202609281609178298ea14faf6f5_1</t>
        </is>
      </c>
      <c r="D78" t="inlineStr">
        <is>
          <t>Mon, 28 Sep 2026 18:02:00 +0900</t>
        </is>
      </c>
      <c r="E78">
        <f>HYPERLINK("https://nimage.g-enews.com/phpwas/restmb_allidxmake.php?idx=5&amp;simg=2026092816111408913ea14faf6f52112341805.jpg", IMAGE("https://nimage.g-enews.com/phpwas/restmb_allidxmake.php?idx=5&amp;simg=2026092816111408913ea14faf6f52112341805.jpg"))</f>
        <v/>
      </c>
    </row>
    <row r="79">
      <c r="A79" t="n">
        <v>78</v>
      </c>
      <c r="B79" t="inlineStr">
        <is>
          <t>지상·미사일·조선 전방위로…한화, 美 방산시장 공략 가속</t>
        </is>
      </c>
      <c r="C79" t="inlineStr">
        <is>
          <t>https://www.g-enews.com/view.php?ud=202608281607092592ea14faf6f5_1</t>
        </is>
      </c>
      <c r="D79" t="inlineStr">
        <is>
          <t>Sun, 30 Aug 2026 17:00:00 +0900</t>
        </is>
      </c>
      <c r="E79">
        <f>HYPERLINK("https://nimage.g-enews.com/phpwas/restmb_allidxmake.php?idx=5&amp;simg=2026082817014704212ea14faf6f5115951676.jpg", IMAGE("https://nimage.g-enews.com/phpwas/restmb_allidxmake.php?idx=5&amp;simg=2026082817014704212ea14faf6f5115951676.jpg"))</f>
        <v/>
      </c>
    </row>
    <row r="80">
      <c r="A80" t="n">
        <v>79</v>
      </c>
      <c r="B80" t="inlineStr">
        <is>
          <t>&amp;quot;그 어렵다는 미국 시장 문도 열었다&amp;quot; K9 자주포의 역사적 순간들</t>
        </is>
      </c>
      <c r="C80" t="inlineStr">
        <is>
          <t>https://n.news.naver.com/mnews/article/469/0000950861?sid=100</t>
        </is>
      </c>
      <c r="D80" t="inlineStr">
        <is>
          <t>Sat, 29 Aug 2026 10:00:00 +0900</t>
        </is>
      </c>
      <c r="E80">
        <f>HYPERLINK("https://imgnews.pstatic.net/image/469/2026/08/29/0000950861_001_20260829100015512.jpg?type=w800", IMAGE("https://imgnews.pstatic.net/image/469/2026/08/29/0000950861_001_20260829100015512.jpg?type=w800"))</f>
        <v/>
      </c>
    </row>
    <row r="81">
      <c r="A81" t="n">
        <v>80</v>
      </c>
      <c r="B81" t="inlineStr">
        <is>
          <t>[2027수시특집] 전북대 3152명(76.7%) '확대'.. 교과 지역의사선발 21명 '...</t>
        </is>
      </c>
      <c r="C81" t="inlineStr">
        <is>
          <t>https://www.veritas-a.com/news/articleView.html?idxno=623328</t>
        </is>
      </c>
      <c r="D81" t="inlineStr">
        <is>
          <t>Fri, 28 Aug 2026 16:52:00 +0900</t>
        </is>
      </c>
      <c r="E81">
        <f>HYPERLINK("https://cdn.veritas-a.com/news/thumbnail/202608/623328_536420_1346_v150.jpg", IMAGE("https://cdn.veritas-a.com/news/thumbnail/202608/623328_536420_1346_v150.jpg"))</f>
        <v/>
      </c>
    </row>
    <row r="82">
      <c r="A82" t="n">
        <v>81</v>
      </c>
      <c r="B82" t="inlineStr">
        <is>
          <t>대전, 국방 R&amp;amp;D 도시 넘어 방산 공급망 거점 노린다</t>
        </is>
      </c>
      <c r="C82" t="inlineStr">
        <is>
          <t>http://www.dailypop.kr/news/articleView.html?idxno=101907</t>
        </is>
      </c>
      <c r="D82" t="inlineStr">
        <is>
          <t>Tue, 25 Aug 2026 15:40:00 +0900</t>
        </is>
      </c>
      <c r="E82">
        <f>HYPERLINK("http://www.dailypop.kr/news/thumbnail/202608/101907_169232_1125_v150.jpg", IMAGE("http://www.dailypop.kr/news/thumbnail/202608/101907_169232_1125_v150.jpg"))</f>
        <v/>
      </c>
    </row>
    <row r="83">
      <c r="A83" t="n">
        <v>82</v>
      </c>
      <c r="B83" t="inlineStr">
        <is>
          <t>대전, 국회서 방산 소부장 특화단지 최적지 알려</t>
        </is>
      </c>
      <c r="C83" t="inlineStr">
        <is>
          <t>https://n.news.naver.com/mnews/article/011/0004654970?sid=102</t>
        </is>
      </c>
      <c r="D83" t="inlineStr">
        <is>
          <t>Tue, 25 Aug 2026 15:33:00 +0900</t>
        </is>
      </c>
      <c r="E83">
        <f>HYPERLINK("https://imgnews.pstatic.net/image/011/2026/08/25/0004654970_001_20260825153318903.jpg?type=w800", IMAGE("https://imgnews.pstatic.net/image/011/2026/08/25/0004654970_001_20260825153318903.jpg?type=w800"))</f>
        <v/>
      </c>
    </row>
    <row r="84">
      <c r="A84" t="n">
        <v>83</v>
      </c>
      <c r="B84" t="inlineStr">
        <is>
          <t>“첨단 국방 중심지로”…대전시, 방산 소부장 특화단지 지정 논의 토론...</t>
        </is>
      </c>
      <c r="C84" t="inlineStr">
        <is>
          <t>https://www.sentv.co.kr/article/view/sentv202608250155</t>
        </is>
      </c>
      <c r="D84" t="inlineStr">
        <is>
          <t>Tue, 25 Aug 2026 15:24:00 +0900</t>
        </is>
      </c>
      <c r="E84">
        <f>HYPERLINK("https://www.sentv.co.kr/data/sentv/image/2026/08/25/sentv20260825000143.jpg", IMAGE("https://www.sentv.co.kr/data/sentv/image/2026/08/25/sentv20260825000143.jpg"))</f>
        <v/>
      </c>
    </row>
    <row r="85">
      <c r="A85" t="n">
        <v>84</v>
      </c>
      <c r="B85" t="inlineStr">
        <is>
          <t>대전시, 'K-방산 심장' 정조준…국방 소부장 특화단지 유치 역량 모은다</t>
        </is>
      </c>
      <c r="C85" t="inlineStr">
        <is>
          <t>https://n.news.naver.com/mnews/article/030/0003460160?sid=102</t>
        </is>
      </c>
      <c r="D85" t="inlineStr">
        <is>
          <t>Tue, 25 Aug 2026 14:01:00 +0900</t>
        </is>
      </c>
      <c r="E85" t="inlineStr">
        <is>
          <t>이미지 없음</t>
        </is>
      </c>
    </row>
    <row r="86">
      <c r="A86" t="n">
        <v>85</v>
      </c>
      <c r="B86" t="inlineStr">
        <is>
          <t>[K방산 리더 한화] 현지화에 달린 해외수주… 한화오션 '패키지형 수출...</t>
        </is>
      </c>
      <c r="C86" t="inlineStr">
        <is>
          <t>https://www.asiatoday.co.kr/kn/view.php?key=20260825010008064</t>
        </is>
      </c>
      <c r="D86" t="inlineStr">
        <is>
          <t>Mon, 24 Aug 2026 18:04:00 +0900</t>
        </is>
      </c>
      <c r="E86">
        <f>HYPERLINK("https://img.asiatoday.co.kr/file/2026y/08m/25d/20260825010008064_1787563928_1.png", IMAGE("https://img.asiatoday.co.kr/file/2026y/08m/25d/20260825010008064_1787563928_1.png"))</f>
        <v/>
      </c>
    </row>
    <row r="87">
      <c r="A87" t="n">
        <v>86</v>
      </c>
      <c r="B87" t="inlineStr">
        <is>
          <t>방산 완전체 만드는 현대차그룹…현대로템 영토 확장 승부수</t>
        </is>
      </c>
      <c r="C87" t="inlineStr">
        <is>
          <t>https://www.m-i.kr/news/articleView.html?idxno=1404584</t>
        </is>
      </c>
      <c r="D87" t="inlineStr">
        <is>
          <t>Sun, 23 Aug 2026 13:00:00 +0900</t>
        </is>
      </c>
      <c r="E87">
        <f>HYPERLINK("https://cdn.m-i.kr/news/photo/202608/1404584_1192641_483.jpg", IMAGE("https://cdn.m-i.kr/news/photo/202608/1404584_1192641_483.jpg"))</f>
        <v/>
      </c>
    </row>
    <row r="88">
      <c r="A88" t="n">
        <v>87</v>
      </c>
      <c r="B88" t="inlineStr">
        <is>
          <t>1.9조 전자전기 사업 ‘흔들’…방산 비리 의혹에 지연 우려</t>
        </is>
      </c>
      <c r="C88" t="inlineStr">
        <is>
          <t>http://www.newstomato.com/ReadNews.aspx?no=1310971&amp;inflow=N</t>
        </is>
      </c>
      <c r="D88" t="inlineStr">
        <is>
          <t>Fri, 21 Aug 2026 15:06:00 +0900</t>
        </is>
      </c>
      <c r="E88" t="inlineStr">
        <is>
          <t>이미지 없음</t>
        </is>
      </c>
    </row>
    <row r="89">
      <c r="A89" t="n">
        <v>88</v>
      </c>
      <c r="B89" t="inlineStr">
        <is>
          <t>전북대학교, 탈레스코리아 'STEM for ALL' 국내 첫 장학생 배출</t>
        </is>
      </c>
      <c r="C89" t="inlineStr">
        <is>
          <t>https://www.lecturernews.com/news/articleView.html?idxno=208980</t>
        </is>
      </c>
      <c r="D89" t="inlineStr">
        <is>
          <t>Fri, 21 Aug 2026 08:20:00 +0900</t>
        </is>
      </c>
      <c r="E89">
        <f>HYPERLINK("https://cdn.lecturernews.com/news/thumbnail/202608/208980_478004_3519_v150.jpg", IMAGE("https://cdn.lecturernews.com/news/thumbnail/202608/208980_478004_3519_v150.jpg"))</f>
        <v/>
      </c>
    </row>
    <row r="90">
      <c r="A90" t="n">
        <v>89</v>
      </c>
      <c r="B90" t="inlineStr">
        <is>
          <t>한화 K9 자주포, 美 뚫었다… 獨·英 기업 제치고 ‘차륜형’ 수출</t>
        </is>
      </c>
      <c r="C90" t="inlineStr">
        <is>
          <t>https://n.news.naver.com/mnews/article/023/0003993895?sid=101</t>
        </is>
      </c>
      <c r="D90" t="inlineStr">
        <is>
          <t>Thu, 20 Aug 2026 00:47:00 +0900</t>
        </is>
      </c>
      <c r="E90">
        <f>HYPERLINK("https://imgnews.pstatic.net/image/023/2026/08/20/0003993895_001_20260820095824854.jpg?type=w800", IMAGE("https://imgnews.pstatic.net/image/023/2026/08/20/0003993895_001_20260820095824854.jpg?type=w800"))</f>
        <v/>
      </c>
    </row>
    <row r="91">
      <c r="A91" t="n">
        <v>90</v>
      </c>
      <c r="B91" t="inlineStr">
        <is>
          <t>협약서가 ‘인재’로 돌아왔다…전북대 방산인재 육성 첫 결실</t>
        </is>
      </c>
      <c r="C91" t="inlineStr">
        <is>
          <t>https://www.viva100.com/article/20260819500013</t>
        </is>
      </c>
      <c r="D91" t="inlineStr">
        <is>
          <t>Wed, 19 Aug 2026 08:38:00 +0900</t>
        </is>
      </c>
      <c r="E91">
        <f>HYPERLINK("https://stqnq5ux4599.edge.naverncp.com/data2//content/image/2026/08/19/.cache/512/20260819500011.png?v=20261029050224", IMAGE("https://stqnq5ux4599.edge.naverncp.com/data2//content/image/2026/08/19/.cache/512/20260819500011.png?v=20261029050224"))</f>
        <v/>
      </c>
    </row>
    <row r="92">
      <c r="A92" t="n">
        <v>91</v>
      </c>
      <c r="B92" t="inlineStr">
        <is>
          <t>전북대·탈레스, 방산 인재양성 협력 확대···첫 장학생 배출</t>
        </is>
      </c>
      <c r="C92" t="inlineStr">
        <is>
          <t>http://www.enewstoday.co.kr/news/articleView.html?idxno=2460271</t>
        </is>
      </c>
      <c r="D92" t="inlineStr">
        <is>
          <t>Tue, 18 Aug 2026 16:00:00 +0900</t>
        </is>
      </c>
      <c r="E92">
        <f>HYPERLINK("https://cdn.enewstoday.co.kr/news/thumbnail/202608/2460271_1301087_1819_v150.jpg", IMAGE("https://cdn.enewstoday.co.kr/news/thumbnail/202608/2460271_1301087_1819_v150.jpg"))</f>
        <v/>
      </c>
    </row>
    <row r="93">
      <c r="A93" t="n">
        <v>92</v>
      </c>
      <c r="B93" t="inlineStr">
        <is>
          <t>전북대, 글로벌 항공·방위기업 '탈레스코리아' 장학생 배출</t>
        </is>
      </c>
      <c r="C93" t="inlineStr">
        <is>
          <t>https://n.news.naver.com/mnews/article/003/0014132599?sid=102</t>
        </is>
      </c>
      <c r="D93" t="inlineStr">
        <is>
          <t>Tue, 18 Aug 2026 11:30:00 +0900</t>
        </is>
      </c>
      <c r="E93" t="inlineStr">
        <is>
          <t>이미지 없음</t>
        </is>
      </c>
    </row>
    <row r="94">
      <c r="A94" t="n">
        <v>93</v>
      </c>
      <c r="B94" t="inlineStr">
        <is>
          <t>‘20조’ 美 함정 MRO 시장⋯ K-조선, 7함대 중심 낙수효과 커진다</t>
        </is>
      </c>
      <c r="C94" t="inlineStr">
        <is>
          <t>https://www.viva100.com/article/20260817500461</t>
        </is>
      </c>
      <c r="D94" t="inlineStr">
        <is>
          <t>Mon, 17 Aug 2026 15:32:00 +0900</t>
        </is>
      </c>
      <c r="E94">
        <f>HYPERLINK("https://stqnq5ux4599.edge.naverncp.com/data2//content/image/2026/08/17/.cache/512/20260817500416.jpg?v=20261029050245", IMAGE("https://stqnq5ux4599.edge.naverncp.com/data2//content/image/2026/08/17/.cache/512/20260817500416.jpg?v=20261029050245"))</f>
        <v/>
      </c>
    </row>
    <row r="95">
      <c r="A95" t="n">
        <v>94</v>
      </c>
      <c r="B95" t="inlineStr">
        <is>
          <t>서울대 10개 만들기 선정 임박…'피지컬AI' 전북대 포함될까</t>
        </is>
      </c>
      <c r="C95" t="inlineStr">
        <is>
          <t>https://n.news.naver.com/mnews/article/421/0009116420?sid=102</t>
        </is>
      </c>
      <c r="D95" t="inlineStr">
        <is>
          <t>Sun, 16 Aug 2026 16:38:00 +0900</t>
        </is>
      </c>
      <c r="E95" t="inlineStr">
        <is>
          <t>이미지 없음</t>
        </is>
      </c>
    </row>
    <row r="96">
      <c r="A96" t="n">
        <v>95</v>
      </c>
      <c r="B96" t="inlineStr">
        <is>
          <t>한국서 美 군함 만들 길 열렸다…트럼프, 최대 2척 해외 건조 허용</t>
        </is>
      </c>
      <c r="C96" t="inlineStr">
        <is>
          <t>https://n.news.naver.com/mnews/article/448/0000633625?sid=101</t>
        </is>
      </c>
      <c r="D96" t="inlineStr">
        <is>
          <t>Fri, 14 Aug 2026 21:40:00 +0900</t>
        </is>
      </c>
      <c r="E96" t="inlineStr">
        <is>
          <t>이미지 없음</t>
        </is>
      </c>
    </row>
    <row r="97">
      <c r="A97" t="n">
        <v>96</v>
      </c>
      <c r="B97" t="inlineStr">
        <is>
          <t>전북대학교, AI와 지역 전략산업 결합한 석·박사급 인재 150명 키운다</t>
        </is>
      </c>
      <c r="C97" t="inlineStr">
        <is>
          <t>https://www.lecturernews.com/news/articleView.html?idxno=208482</t>
        </is>
      </c>
      <c r="D97" t="inlineStr">
        <is>
          <t>Fri, 14 Aug 2026 09:46:00 +0900</t>
        </is>
      </c>
      <c r="E97">
        <f>HYPERLINK("https://cdn.lecturernews.com/news/thumbnail/202608/208482_477346_3211_v150.jpg", IMAGE("https://cdn.lecturernews.com/news/thumbnail/202608/208482_477346_3211_v150.jpg"))</f>
        <v/>
      </c>
    </row>
    <row r="98">
      <c r="A98" t="n">
        <v>97</v>
      </c>
      <c r="B98" t="inlineStr">
        <is>
          <t>필리 이어 오스탈까지… 한화, 美 해군•핵잠 노린다</t>
        </is>
      </c>
      <c r="C98" t="inlineStr">
        <is>
          <t>https://www.viva100.com/article/20260812500685</t>
        </is>
      </c>
      <c r="D98" t="inlineStr">
        <is>
          <t>Wed, 12 Aug 2026 15:00:00 +0900</t>
        </is>
      </c>
      <c r="E98">
        <f>HYPERLINK("https://stqnq5ux4599.edge.naverncp.com/data2//content/image/2026/08/12/20260812500674.webp?v=20261029050313", IMAGE("https://stqnq5ux4599.edge.naverncp.com/data2//content/image/2026/08/12/20260812500674.webp?v=20261029050313"))</f>
        <v/>
      </c>
    </row>
    <row r="99">
      <c r="A99" t="n">
        <v>98</v>
      </c>
      <c r="B99" t="inlineStr">
        <is>
          <t>전북대 '휘둥그레' 팀, 대학생 AI 자율주행 경진대회 대상</t>
        </is>
      </c>
      <c r="C99" t="inlineStr">
        <is>
          <t>https://n.news.naver.com/mnews/article/421/0009108391?sid=102</t>
        </is>
      </c>
      <c r="D99" t="inlineStr">
        <is>
          <t>Tue, 11 Aug 2026 16:29:00 +0900</t>
        </is>
      </c>
      <c r="E99">
        <f>HYPERLINK("https://imgnews.pstatic.net/image/421/2026/08/11/0009108391_001_20260811163012621.jpg?type=w800", IMAGE("https://imgnews.pstatic.net/image/421/2026/08/11/0009108391_001_20260811163012621.jpg?type=w800"))</f>
        <v/>
      </c>
    </row>
    <row r="100">
      <c r="A100" t="n">
        <v>99</v>
      </c>
      <c r="B100" t="inlineStr">
        <is>
          <t>전북대, 자율주행 전국대회서 '대상'…AI·미래차 기술력 입증</t>
        </is>
      </c>
      <c r="C100" t="inlineStr">
        <is>
          <t>https://n.news.naver.com/mnews/article/629/0000523577?sid=102</t>
        </is>
      </c>
      <c r="D100" t="inlineStr">
        <is>
          <t>Tue, 11 Aug 2026 16:22:00 +0900</t>
        </is>
      </c>
      <c r="E100">
        <f>HYPERLINK("https://imgnews.pstatic.net/image/629/2026/08/11/202624401786429971_20260811162210657.jpg?type=w800", IMAGE("https://imgnews.pstatic.net/image/629/2026/08/11/202624401786429971_20260811162210657.jpg?type=w800"))</f>
        <v/>
      </c>
    </row>
    <row r="101">
      <c r="A101" t="n">
        <v>100</v>
      </c>
      <c r="B101" t="inlineStr">
        <is>
          <t>한화, KAI ‘인수’ 성큼…완주까지 넘어야 할 산</t>
        </is>
      </c>
      <c r="C101" t="inlineStr">
        <is>
          <t>http://www.newstomato.com/ReadNews.aspx?no=1309851&amp;inflow=N</t>
        </is>
      </c>
      <c r="D101" t="inlineStr">
        <is>
          <t>Tue, 11 Aug 2026 10:38:00 +0900</t>
        </is>
      </c>
      <c r="E101" t="inlineStr">
        <is>
          <t>이미지 없음</t>
        </is>
      </c>
    </row>
    <row r="102">
      <c r="A102" t="n">
        <v>101</v>
      </c>
      <c r="B102" t="inlineStr">
        <is>
          <t>전북대, 석·박사급 인공지능 전문인력 150명 양성</t>
        </is>
      </c>
      <c r="C102" t="inlineStr">
        <is>
          <t>http://www.hansbiz.co.kr/news/articleView.html?idxno=855479</t>
        </is>
      </c>
      <c r="D102" t="inlineStr">
        <is>
          <t>Sun, 09 Aug 2026 16:48:00 +0900</t>
        </is>
      </c>
      <c r="E102">
        <f>HYPERLINK("https://cdn.hansbiz.co.kr/news/thumbnail/202608/855479_875351_4720_v150.jpg", IMAGE("https://cdn.hansbiz.co.kr/news/thumbnail/202608/855479_875351_4720_v150.jpg"))</f>
        <v/>
      </c>
    </row>
    <row r="103">
      <c r="A103" t="n">
        <v>102</v>
      </c>
      <c r="B103" t="inlineStr">
        <is>
          <t>전북대, 지역 성장엔진 'AI+X 석·박사' 인재 양성 나선다</t>
        </is>
      </c>
      <c r="C103" t="inlineStr">
        <is>
          <t>http://www.jeollailbo.com/news/articleView.html?idxno=807560</t>
        </is>
      </c>
      <c r="D103" t="inlineStr">
        <is>
          <t>Sat, 08 Aug 2026 15:58:00 +0900</t>
        </is>
      </c>
      <c r="E103">
        <f>HYPERLINK("https://cdn.jeollailbo.com/news/thumbnail/202608/807560_195196_3744_v150.jpg", IMAGE("https://cdn.jeollailbo.com/news/thumbnail/202608/807560_195196_3744_v150.jpg"))</f>
        <v/>
      </c>
    </row>
    <row r="104">
      <c r="A104" t="n">
        <v>103</v>
      </c>
      <c r="B104" t="inlineStr">
        <is>
          <t>전북대, 7개 융합학과로 AI+X 고급인재 150명 양성한다</t>
        </is>
      </c>
      <c r="C104" t="inlineStr">
        <is>
          <t>https://www.kyosu.net/news/articleView.html?idxno=208585</t>
        </is>
      </c>
      <c r="D104" t="inlineStr">
        <is>
          <t>Fri, 07 Aug 2026 12:10:00 +0900</t>
        </is>
      </c>
      <c r="E104">
        <f>HYPERLINK("https://cdn.kyosu.net/news/photo/202608/208585_209853_4310.jpg", IMAGE("https://cdn.kyosu.net/news/photo/202608/208585_209853_4310.jpg"))</f>
        <v/>
      </c>
    </row>
    <row r="105">
      <c r="A105" t="n">
        <v>104</v>
      </c>
      <c r="B105" t="inlineStr">
        <is>
          <t>전북대 AI+X 고급인재 양성 나선다.. 학사~박사 최단 5.5년 '패스트트랙...</t>
        </is>
      </c>
      <c r="C105" t="inlineStr">
        <is>
          <t>https://www.veritas-a.com/news/articleView.html?idxno=622397</t>
        </is>
      </c>
      <c r="D105" t="inlineStr">
        <is>
          <t>Fri, 07 Aug 2026 11:54:00 +0900</t>
        </is>
      </c>
      <c r="E105">
        <f>HYPERLINK("https://cdn.veritas-a.com/news/thumbnail/202608/622397_535480_5228_v150.jpg", IMAGE("https://cdn.veritas-a.com/news/thumbnail/202608/622397_535480_5228_v150.jpg"))</f>
        <v/>
      </c>
    </row>
    <row r="106">
      <c r="A106" t="n">
        <v>105</v>
      </c>
      <c r="B106" t="inlineStr">
        <is>
          <t>전북대, AX 학사~박사까지 8년→최단 5.5년 가능…톱 100 AI 특화대학원...</t>
        </is>
      </c>
      <c r="C106" t="inlineStr">
        <is>
          <t>https://n.news.naver.com/mnews/article/030/0003455196?sid=102</t>
        </is>
      </c>
      <c r="D106" t="inlineStr">
        <is>
          <t>Fri, 07 Aug 2026 11:43:00 +0900</t>
        </is>
      </c>
      <c r="E106">
        <f>HYPERLINK("https://imgnews.pstatic.net/image/030/2026/08/07/0003455196_001_20260813164059037.jpg?type=w800", IMAGE("https://imgnews.pstatic.net/image/030/2026/08/07/0003455196_001_20260813164059037.jpg?type=w800"))</f>
        <v/>
      </c>
    </row>
    <row r="107">
      <c r="A107" t="n">
        <v>106</v>
      </c>
      <c r="B107" t="inlineStr">
        <is>
          <t>美 무기 구매서 첨단기술 협력 국가로… K-방산 '눈부신 발전'</t>
        </is>
      </c>
      <c r="C107" t="inlineStr">
        <is>
          <t>https://www.ajunews.com/view/20260806162915186</t>
        </is>
      </c>
      <c r="D107" t="inlineStr">
        <is>
          <t>Thu, 06 Aug 2026 18:18:00 +0900</t>
        </is>
      </c>
      <c r="E107">
        <f>HYPERLINK("https://image.ajunews.com/content/image/2026/08/06/20260806203329192695.jpg", IMAGE("https://image.ajunews.com/content/image/2026/08/06/20260806203329192695.jpg"))</f>
        <v/>
      </c>
    </row>
    <row r="108">
      <c r="A108" t="n">
        <v>107</v>
      </c>
      <c r="B108" t="inlineStr">
        <is>
          <t>[한화 책임경영 2막] 육·해·공·우주 연결…김동관, 방산 도약 이끈다</t>
        </is>
      </c>
      <c r="C108" t="inlineStr">
        <is>
          <t>https://www.g-enews.com/view.php?ud=202608051534469874112616b072_1</t>
        </is>
      </c>
      <c r="D108" t="inlineStr">
        <is>
          <t>Wed, 05 Aug 2026 16:44:00 +0900</t>
        </is>
      </c>
      <c r="E108">
        <f>HYPERLINK("https://nimage.g-enews.com/phpwas/restmb_allidxmake.php?idx=5&amp;simg=2026080516075702899112616b072210113354.jpg", IMAGE("https://nimage.g-enews.com/phpwas/restmb_allidxmake.php?idx=5&amp;simg=2026080516075702899112616b072210113354.jpg"))</f>
        <v/>
      </c>
    </row>
    <row r="109">
      <c r="A109" t="n">
        <v>108</v>
      </c>
      <c r="B109" t="inlineStr">
        <is>
          <t>하드킬 빠진 대드론 국가표준…조달 지연·재설계 우려</t>
        </is>
      </c>
      <c r="C109" t="inlineStr">
        <is>
          <t>https://www.g-enews.com/view.php?ud=202608041148056786ea14faf6f5_1</t>
        </is>
      </c>
      <c r="D109" t="inlineStr">
        <is>
          <t>Tue, 04 Aug 2026 16:02:00 +0900</t>
        </is>
      </c>
      <c r="E109">
        <f>HYPERLINK("https://nimage.g-enews.com/phpwas/restmb_allidxmake.php?idx=5&amp;simg=2026080411530101753ea14faf6f5175197343.jpg", IMAGE("https://nimage.g-enews.com/phpwas/restmb_allidxmake.php?idx=5&amp;simg=2026080411530101753ea14faf6f5175197343.jpg"))</f>
        <v/>
      </c>
    </row>
    <row r="110">
      <c r="A110" t="n">
        <v>109</v>
      </c>
      <c r="B110" t="inlineStr">
        <is>
          <t>전북대, 전북 최초 국방사업관리사 재직자 전문과정</t>
        </is>
      </c>
      <c r="C110" t="inlineStr">
        <is>
          <t>https://sjbnews.com/news/news.php?number=884391</t>
        </is>
      </c>
      <c r="D110" t="inlineStr">
        <is>
          <t>Mon, 03 Aug 2026 18:52:00 +0900</t>
        </is>
      </c>
      <c r="E110">
        <f>HYPERLINK("http://sjbnews.com/data/data_file/thum_884391_202608_0.jpg", IMAGE("http://sjbnews.com/data/data_file/thum_884391_202608_0.jpg"))</f>
        <v/>
      </c>
    </row>
    <row r="111">
      <c r="A111" t="n">
        <v>110</v>
      </c>
      <c r="B111" t="inlineStr">
        <is>
          <t>실적은 ‘훨훨’ 수출은 ‘주춤’…K방산 ‘성장 지속성’ 기로</t>
        </is>
      </c>
      <c r="C111" t="inlineStr">
        <is>
          <t>http://www.newstomato.com/ReadNews.aspx?no=1309035&amp;inflow=N</t>
        </is>
      </c>
      <c r="D111" t="inlineStr">
        <is>
          <t>Mon, 03 Aug 2026 15:20:00 +0900</t>
        </is>
      </c>
      <c r="E111" t="inlineStr">
        <is>
          <t>이미지 없음</t>
        </is>
      </c>
    </row>
    <row r="112">
      <c r="A112" t="n">
        <v>111</v>
      </c>
      <c r="B112" t="inlineStr">
        <is>
          <t>전북 첫 '국방사업관리사' 재직자 과정 운영…전북대, 전문인력 45명 배...</t>
        </is>
      </c>
      <c r="C112" t="inlineStr">
        <is>
          <t>https://n.news.naver.com/mnews/article/002/0002450696?sid=102</t>
        </is>
      </c>
      <c r="D112" t="inlineStr">
        <is>
          <t>Mon, 03 Aug 2026 12:51:00 +0900</t>
        </is>
      </c>
      <c r="E112" t="inlineStr">
        <is>
          <t>이미지 없음</t>
        </is>
      </c>
    </row>
    <row r="113">
      <c r="A113" t="n">
        <v>112</v>
      </c>
      <c r="B113" t="inlineStr">
        <is>
          <t>전북대, 국방사업관리사 재직자 전문과정 마쳐…&amp;quot;45명 수료&amp;quot;</t>
        </is>
      </c>
      <c r="C113" t="inlineStr">
        <is>
          <t>https://n.news.naver.com/mnews/article/003/0014104540?sid=102</t>
        </is>
      </c>
      <c r="D113" t="inlineStr">
        <is>
          <t>Mon, 03 Aug 2026 11:26:00 +0900</t>
        </is>
      </c>
      <c r="E113">
        <f>HYPERLINK("https://imgnews.pstatic.net/image/003/2026/08/03/NISI20260803_0002202803_web_20260803112403_20260803112716009.jpg?type=w800", IMAGE("https://imgnews.pstatic.net/image/003/2026/08/03/NISI20260803_0002202803_web_20260803112403_20260803112716009.jpg?type=w800"))</f>
        <v/>
      </c>
    </row>
    <row r="114">
      <c r="A114" t="n">
        <v>113</v>
      </c>
      <c r="B114" t="inlineStr">
        <is>
          <t>전북대, 방산혁신클러스터 전문인력 양성 첫 발…'국방사업관리사 재직...</t>
        </is>
      </c>
      <c r="C114" t="inlineStr">
        <is>
          <t>https://n.news.naver.com/mnews/article/030/0003453553?sid=102</t>
        </is>
      </c>
      <c r="D114" t="inlineStr">
        <is>
          <t>Mon, 03 Aug 2026 10:32:00 +0900</t>
        </is>
      </c>
      <c r="E114">
        <f>HYPERLINK("https://imgnews.pstatic.net/image/030/2026/08/03/0003453553_001_20260803103216594.png?type=w800", IMAGE("https://imgnews.pstatic.net/image/030/2026/08/03/0003453553_001_20260803103216594.png?type=w800"))</f>
        <v/>
      </c>
    </row>
    <row r="115">
      <c r="A115" t="n">
        <v>114</v>
      </c>
      <c r="B115" t="inlineStr">
        <is>
          <t>글로벌 방산 트렌드는 ‘합종연횡’…한화, KAI와 손잡나</t>
        </is>
      </c>
      <c r="C115" t="inlineStr">
        <is>
          <t>https://n.news.naver.com/mnews/article/262/0000019567?sid=101</t>
        </is>
      </c>
      <c r="D115" t="inlineStr">
        <is>
          <t>Sun, 02 Aug 2026 17:01:00 +0900</t>
        </is>
      </c>
      <c r="E115">
        <f>HYPERLINK("https://imgnews.pstatic.net/image/262/2026/08/02/0000019567_001_20260802193510142.jpg?type=w800", IMAGE("https://imgnews.pstatic.net/image/262/2026/08/02/0000019567_001_20260802193510142.jpg?type=w800"))</f>
        <v/>
      </c>
    </row>
    <row r="116">
      <c r="A116" t="n">
        <v>115</v>
      </c>
      <c r="B116" t="inlineStr">
        <is>
          <t>김종출 KAI 대표, 완제기 제조 역량에 'AI·위성 기술' 입힌다</t>
        </is>
      </c>
      <c r="C116" t="inlineStr">
        <is>
          <t>https://www.insightkorea.co.kr/news/articleView.html?idxno=251282</t>
        </is>
      </c>
      <c r="D116" t="inlineStr">
        <is>
          <t>Thu, 30 Jul 2026 16:12:00 +0900</t>
        </is>
      </c>
      <c r="E116">
        <f>HYPERLINK("https://cdn.insightkorea.co.kr/news/thumbnail/202607/251282_261914_1843_v150.jpg", IMAGE("https://cdn.insightkorea.co.kr/news/thumbnail/202607/251282_261914_1843_v150.jpg"))</f>
        <v/>
      </c>
    </row>
    <row r="117">
      <c r="A117" t="n">
        <v>116</v>
      </c>
      <c r="B117" t="inlineStr">
        <is>
          <t>[트럼프發 훈풍 K-조선] '기회의 문' 열린 美함정시장… 현지투자·경쟁...</t>
        </is>
      </c>
      <c r="C117" t="inlineStr">
        <is>
          <t>https://www.asiatoday.co.kr/kn/view.php?key=20260730010011003</t>
        </is>
      </c>
      <c r="D117" t="inlineStr">
        <is>
          <t>Wed, 29 Jul 2026 18:24:00 +0900</t>
        </is>
      </c>
      <c r="E117">
        <f>HYPERLINK("https://img.asiatoday.co.kr/file/2026y/07m/30d/2026073001001986500110031.jpg", IMAGE("https://img.asiatoday.co.kr/file/2026y/07m/30d/2026073001001986500110031.jpg"))</f>
        <v/>
      </c>
    </row>
    <row r="118">
      <c r="A118" t="n">
        <v>117</v>
      </c>
      <c r="B118" t="inlineStr">
        <is>
          <t>K-방산, AI 파트너 확보전…기술 협력망이 새 경쟁력</t>
        </is>
      </c>
      <c r="C118" t="inlineStr">
        <is>
          <t>https://www.g-enews.com/view.php?ud=202607290914253246ea14faf6f5_1</t>
        </is>
      </c>
      <c r="D118" t="inlineStr">
        <is>
          <t>Wed, 29 Jul 2026 13:12:00 +0900</t>
        </is>
      </c>
      <c r="E118">
        <f>HYPERLINK("https://nimage.g-enews.com/phpwas/restmb_allidxmake.php?idx=5&amp;simg=2026072909481700554ea14faf6f51831011667.jpg", IMAGE("https://nimage.g-enews.com/phpwas/restmb_allidxmake.php?idx=5&amp;simg=2026072909481700554ea14faf6f51831011667.jpg"))</f>
        <v/>
      </c>
    </row>
    <row r="119">
      <c r="A119" t="n">
        <v>118</v>
      </c>
      <c r="B119" t="inlineStr">
        <is>
          <t>‘MASGA’ 출범했지만⋯ K-조선 수혜규모, 워싱턴서 갈린다</t>
        </is>
      </c>
      <c r="C119" t="inlineStr">
        <is>
          <t>https://www.viva100.com/article/20260726500503</t>
        </is>
      </c>
      <c r="D119" t="inlineStr">
        <is>
          <t>Sun, 26 Jul 2026 15:42:00 +0900</t>
        </is>
      </c>
      <c r="E119">
        <f>HYPERLINK("https://stqnq5ux4599.edge.naverncp.com/data2//content/image/2026/07/26/.cache/512/20260726500497.jpg?v=20261029050442", IMAGE("https://stqnq5ux4599.edge.naverncp.com/data2//content/image/2026/07/26/.cache/512/20260726500497.jpg?v=20261029050442"))</f>
        <v/>
      </c>
    </row>
    <row r="120">
      <c r="A120" t="n">
        <v>119</v>
      </c>
      <c r="B120" t="inlineStr">
        <is>
          <t>전북대, AI-무인전투 이끌 ‘K-방산 인재’ 650명 키운다</t>
        </is>
      </c>
      <c r="C120" t="inlineStr">
        <is>
          <t>https://n.news.naver.com/mnews/article/020/0003736186?sid=102</t>
        </is>
      </c>
      <c r="D120" t="inlineStr">
        <is>
          <t>Fri, 24 Jul 2026 04:33:00 +0900</t>
        </is>
      </c>
      <c r="E120">
        <f>HYPERLINK("https://imgnews.pstatic.net/image/020/2026/07/24/0003736186_001_20260724091109852.jpg?type=w800", IMAGE("https://imgnews.pstatic.net/image/020/2026/07/24/0003736186_001_20260724091109852.jpg?type=w800"))</f>
        <v/>
      </c>
    </row>
    <row r="121">
      <c r="A121" t="n">
        <v>120</v>
      </c>
      <c r="B121" t="inlineStr">
        <is>
          <t>“한국의 방산 4대 강국 도약에 기여하겠다”</t>
        </is>
      </c>
      <c r="C121" t="inlineStr">
        <is>
          <t>https://n.news.naver.com/mnews/article/020/0003736187?sid=102</t>
        </is>
      </c>
      <c r="D121" t="inlineStr">
        <is>
          <t>Fri, 24 Jul 2026 04:33:00 +0900</t>
        </is>
      </c>
      <c r="E121">
        <f>HYPERLINK("https://imgnews.pstatic.net/image/020/2026/07/24/0003736187_001_20260724091209601.jpg?type=w800", IMAGE("https://imgnews.pstatic.net/image/020/2026/07/24/0003736187_001_20260724091209601.jpg?type=w800"))</f>
        <v/>
      </c>
    </row>
    <row r="122">
      <c r="A122" t="n">
        <v>121</v>
      </c>
      <c r="B122" t="inlineStr">
        <is>
          <t>[단독] '경기도 방산 거점' 한국항공대, 전 방사청장 영입</t>
        </is>
      </c>
      <c r="C122" t="inlineStr">
        <is>
          <t>https://www.obsnews.co.kr/news/articleView.html?idxno=1536098</t>
        </is>
      </c>
      <c r="D122" t="inlineStr">
        <is>
          <t>Wed, 02 Sep 2026 11:08:00 +0900</t>
        </is>
      </c>
      <c r="E122">
        <f>HYPERLINK("https://cdn.obsnews.co.kr/news/thumbnail/202609/1536098_734986_552_v150.jpg", IMAGE("https://cdn.obsnews.co.kr/news/thumbnail/202609/1536098_734986_552_v150.jpg"))</f>
        <v/>
      </c>
    </row>
    <row r="123">
      <c r="A123" t="n">
        <v>122</v>
      </c>
      <c r="B123" t="inlineStr">
        <is>
          <t>피라미드 상공까지 열어준 이집트... K9으로 쌓인 신뢰의 무게</t>
        </is>
      </c>
      <c r="C123" t="inlineStr">
        <is>
          <t>https://n.news.naver.com/mnews/article/469/0000948256?sid=100</t>
        </is>
      </c>
      <c r="D123" t="inlineStr">
        <is>
          <t>Sun, 16 Aug 2026 10:00:00 +0900</t>
        </is>
      </c>
      <c r="E123">
        <f>HYPERLINK("https://imgnews.pstatic.net/image/469/2026/08/16/0000948256_001_20260816100017616.jpg?type=w800", IMAGE("https://imgnews.pstatic.net/image/469/2026/08/16/0000948256_001_20260816100017616.jpg?type=w800"))</f>
        <v/>
      </c>
    </row>
    <row r="124">
      <c r="A124" t="n">
        <v>123</v>
      </c>
      <c r="B124" t="inlineStr">
        <is>
          <t>전북대학교 방산AI부트캠프, 전국 자율주행 경진대회서 대상·동상 동시...</t>
        </is>
      </c>
      <c r="C124" t="inlineStr">
        <is>
          <t>https://www.lecturernews.com/news/articleView.html?idxno=208485</t>
        </is>
      </c>
      <c r="D124" t="inlineStr">
        <is>
          <t>Sun, 16 Aug 2026 07:16:00 +0900</t>
        </is>
      </c>
      <c r="E124">
        <f>HYPERLINK("https://cdn.lecturernews.com/news/thumbnail/202608/208485_477349_3721_v150.jpg", IMAGE("https://cdn.lecturernews.com/news/thumbnail/202608/208485_477349_3721_v150.jpg"))</f>
        <v/>
      </c>
    </row>
    <row r="125">
      <c r="A125" t="n">
        <v>124</v>
      </c>
      <c r="B125" t="inlineStr">
        <is>
          <t>전북대 방산AI부트캠프 소속 학생들 우수성 입증</t>
        </is>
      </c>
      <c r="C125" t="inlineStr">
        <is>
          <t>http://www.jeollailbo.com/news/articleView.html?idxno=807915</t>
        </is>
      </c>
      <c r="D125" t="inlineStr">
        <is>
          <t>Tue, 11 Aug 2026 17:18:00 +0900</t>
        </is>
      </c>
      <c r="E125">
        <f>HYPERLINK("https://cdn.jeollailbo.com/news/thumbnail/202608/807915_195513_1937_v150.jpg", IMAGE("https://cdn.jeollailbo.com/news/thumbnail/202608/807915_195513_1937_v150.jpg"))</f>
        <v/>
      </c>
    </row>
    <row r="126">
      <c r="A126" t="n">
        <v>125</v>
      </c>
      <c r="B126" t="inlineStr">
        <is>
          <t>[전북24시] 전북대 반도체공동연구소, 반도체 인재양성 전공경계 허문다</t>
        </is>
      </c>
      <c r="C126" t="inlineStr">
        <is>
          <t>https://n.news.naver.com/mnews/article/586/0000135737?sid=102</t>
        </is>
      </c>
      <c r="D126" t="inlineStr">
        <is>
          <t>Tue, 11 Aug 2026 17:18:00 +0900</t>
        </is>
      </c>
      <c r="E126">
        <f>HYPERLINK("https://imgnews.pstatic.net/image/586/2026/08/11/0000135737_001_20260811171820346.jpg?type=w800", IMAGE("https://imgnews.pstatic.net/image/586/2026/08/11/0000135737_001_20260811171820346.jpg?type=w800"))</f>
        <v/>
      </c>
    </row>
    <row r="127">
      <c r="A127" t="n">
        <v>126</v>
      </c>
      <c r="B127" t="inlineStr">
        <is>
          <t>전북대 방산AI부트캠프사업단 자율주행 경진대회 대상/동상 석권.. AI자...</t>
        </is>
      </c>
      <c r="C127" t="inlineStr">
        <is>
          <t>https://www.veritas-a.com/news/articleView.html?idxno=622755</t>
        </is>
      </c>
      <c r="D127" t="inlineStr">
        <is>
          <t>Tue, 11 Aug 2026 12:30:00 +0900</t>
        </is>
      </c>
      <c r="E127">
        <f>HYPERLINK("https://cdn.veritas-a.com/news/thumbnail/202608/622755_535846_2732_v150.jpg", IMAGE("https://cdn.veritas-a.com/news/thumbnail/202608/622755_535846_2732_v150.jpg"))</f>
        <v/>
      </c>
    </row>
    <row r="128">
      <c r="A128" t="n">
        <v>127</v>
      </c>
      <c r="B128" t="inlineStr">
        <is>
          <t>전북대, 전국 대학생 AI 자율주행 경진대회서 대상·동상</t>
        </is>
      </c>
      <c r="C128" t="inlineStr">
        <is>
          <t>https://n.news.naver.com/mnews/article/003/0014119994?sid=102</t>
        </is>
      </c>
      <c r="D128" t="inlineStr">
        <is>
          <t>Tue, 11 Aug 2026 11:34:00 +0900</t>
        </is>
      </c>
      <c r="E128">
        <f>HYPERLINK("https://imgnews.pstatic.net/image/003/2026/08/11/NISI20260811_0002209461_web_20260811113250_20260811113514916.jpg?type=w800", IMAGE("https://imgnews.pstatic.net/image/003/2026/08/11/NISI20260811_0002209461_web_20260811113250_20260811113514916.jpg?type=w800"))</f>
        <v/>
      </c>
    </row>
    <row r="129">
      <c r="A129" t="n">
        <v>128</v>
      </c>
      <c r="B129" t="inlineStr">
        <is>
          <t>에스토니아서 '천둥'이라 부르는 K9 자주포... 전 방위사업청장이 말하...</t>
        </is>
      </c>
      <c r="C129" t="inlineStr">
        <is>
          <t>https://n.news.naver.com/mnews/article/469/0000944797?sid=100</t>
        </is>
      </c>
      <c r="D129" t="inlineStr">
        <is>
          <t>Tue, 28 Jul 2026 14:01:00 +0900</t>
        </is>
      </c>
      <c r="E129">
        <f>HYPERLINK("https://imgnews.pstatic.net/image/469/2026/07/28/0000944797_001_20260728140118726.jpg?type=w800", IMAGE("https://imgnews.pstatic.net/image/469/2026/07/28/0000944797_001_20260728140118726.jpg?type=w800"))</f>
        <v/>
      </c>
    </row>
    <row r="130">
      <c r="A130" t="n">
        <v>129</v>
      </c>
      <c r="B130" t="inlineStr">
        <is>
          <t>[차세현의 직격토론] “미국 군함 건조하면 나토 시장 K방산에 활짝 열...</t>
        </is>
      </c>
      <c r="C130" t="inlineStr">
        <is>
          <t>https://n.news.naver.com/mnews/article/025/0003539208?sid=110</t>
        </is>
      </c>
      <c r="D130" t="inlineStr">
        <is>
          <t>Wed, 22 Jul 2026 00:14:00 +0900</t>
        </is>
      </c>
      <c r="E130">
        <f>HYPERLINK("https://imgnews.pstatic.net/image/025/2026/07/22/0003539208_001_20261019172509297.jpg?type=w800", IMAGE("https://imgnews.pstatic.net/image/025/2026/07/22/0003539208_001_20261019172509297.jpg?type=w800"))</f>
        <v/>
      </c>
    </row>
    <row r="131">
      <c r="A131" t="n">
        <v>130</v>
      </c>
      <c r="B131" t="inlineStr">
        <is>
          <t>[시사천국] 드론이 바꾼 전쟁의 문법…평화를 위한 K-방산의 과제는?</t>
        </is>
      </c>
      <c r="C131" t="inlineStr">
        <is>
          <t>https://news.cpbc.co.kr/article/1174362?division=NAVER</t>
        </is>
      </c>
      <c r="D131" t="inlineStr">
        <is>
          <t>Tue, 14 Jul 2026 22:54:00 +0900</t>
        </is>
      </c>
      <c r="E131">
        <f>HYPERLINK("https://img.cpbc.co.kr/newsimg/upload/2026/07/14/6oH1784030232565.jpg", IMAGE("https://img.cpbc.co.kr/newsimg/upload/2026/07/14/6oH1784030232565.jpg"))</f>
        <v/>
      </c>
    </row>
    <row r="132">
      <c r="A132" t="n">
        <v>131</v>
      </c>
      <c r="B132" t="inlineStr">
        <is>
          <t>200억 더 깎자는 말에 문재인의 대답... K9 계약 살렸다</t>
        </is>
      </c>
      <c r="C132" t="inlineStr">
        <is>
          <t>https://n.news.naver.com/mnews/article/469/0000942173?sid=100</t>
        </is>
      </c>
      <c r="D132" t="inlineStr">
        <is>
          <t>Tue, 14 Jul 2026 14:00:00 +0900</t>
        </is>
      </c>
      <c r="E132">
        <f>HYPERLINK("https://imgnews.pstatic.net/image/469/2026/07/14/0000942173_001_20260728105813570.jpg?type=w800", IMAGE("https://imgnews.pstatic.net/image/469/2026/07/14/0000942173_001_20260728105813570.jpg?type=w800"))</f>
        <v/>
      </c>
    </row>
    <row r="133">
      <c r="A133" t="n">
        <v>132</v>
      </c>
      <c r="B133" t="inlineStr">
        <is>
          <t>[시선집중] 방산전문가 &amp;quot;李대통령, 나토 방산시장 '혈 뚫었다'...공동개...</t>
        </is>
      </c>
      <c r="C133" t="inlineStr">
        <is>
          <t>https://n.news.naver.com/mnews/article/214/0001510555?sid=100</t>
        </is>
      </c>
      <c r="D133" t="inlineStr">
        <is>
          <t>Thu, 09 Jul 2026 10:17:00 +0900</t>
        </is>
      </c>
      <c r="E133">
        <f>HYPERLINK("https://ssl.pstatic.net/static.news/image/news/ogtag/navernews_800x420_20221201.jpg", IMAGE("https://ssl.pstatic.net/static.news/image/news/ogtag/navernews_800x420_20221201.jpg"))</f>
        <v/>
      </c>
    </row>
    <row r="134">
      <c r="A134" t="n">
        <v>133</v>
      </c>
      <c r="B134" t="inlineStr">
        <is>
          <t>“나토 높은 벽” 뚫는 李 승부수, 조달협정…“우회로 뚫는 효과”</t>
        </is>
      </c>
      <c r="C134" t="inlineStr">
        <is>
          <t>https://n.news.naver.com/mnews/article/025/0003536241?sid=100</t>
        </is>
      </c>
      <c r="D134" t="inlineStr">
        <is>
          <t>Wed, 08 Jul 2026 17:27:00 +0900</t>
        </is>
      </c>
      <c r="E134">
        <f>HYPERLINK("https://imgnews.pstatic.net/image/025/2026/07/08/0003536241_001_20260709124354571.jpg?type=w800", IMAGE("https://imgnews.pstatic.net/image/025/2026/07/08/0003536241_001_20260709124354571.jpg?type=w800"))</f>
        <v/>
      </c>
    </row>
    <row r="135">
      <c r="A135" t="n">
        <v>134</v>
      </c>
      <c r="B135" t="inlineStr">
        <is>
          <t>서명식 당일 무산된 K9 자주포 계약…이집트는 &amp;quot;가격 더 깎아달라&amp;quot; 요구...</t>
        </is>
      </c>
      <c r="C135" t="inlineStr">
        <is>
          <t>https://n.news.naver.com/mnews/article/469/0000939478?sid=100</t>
        </is>
      </c>
      <c r="D135" t="inlineStr">
        <is>
          <t>Tue, 30 Jun 2026 14:14:00 +0900</t>
        </is>
      </c>
      <c r="E135">
        <f>HYPERLINK("https://imgnews.pstatic.net/image/469/2026/06/30/0000939478_001_20260630141412552.jpg?type=w800", IMAGE("https://imgnews.pstatic.net/image/469/2026/06/30/0000939478_001_20260630141412552.jpg?type=w800"))</f>
        <v/>
      </c>
    </row>
    <row r="136">
      <c r="A136" t="n">
        <v>135</v>
      </c>
      <c r="B136" t="inlineStr">
        <is>
          <t>&amp;quot;한국 배우고 싶다&amp;quot; 눈물 글썽인 대통령… K9 자주포로 동반자된 이집트</t>
        </is>
      </c>
      <c r="C136" t="inlineStr">
        <is>
          <t>https://n.news.naver.com/mnews/article/469/0000936758?sid=100</t>
        </is>
      </c>
      <c r="D136" t="inlineStr">
        <is>
          <t>Tue, 16 Jun 2026 14:01:00 +0900</t>
        </is>
      </c>
      <c r="E136">
        <f>HYPERLINK("https://imgnews.pstatic.net/image/469/2026/06/16/0000936758_001_20260616140113437.jpg?type=w800", IMAGE("https://imgnews.pstatic.net/image/469/2026/06/16/0000936758_001_20260616140113437.jpg?type=w800"))</f>
        <v/>
      </c>
    </row>
    <row r="137">
      <c r="A137" t="n">
        <v>136</v>
      </c>
      <c r="B137" t="inlineStr">
        <is>
          <t>전북은행, 직원과의 직접 소통으로 경영전략 반영…하림, 지역 초등 장...</t>
        </is>
      </c>
      <c r="C137" t="inlineStr">
        <is>
          <t>https://www.sisaon.co.kr/news/articleView.html?idxno=201832</t>
        </is>
      </c>
      <c r="D137" t="inlineStr">
        <is>
          <t>Mon, 15 Jun 2026 11:06:00 +0900</t>
        </is>
      </c>
      <c r="E137">
        <f>HYPERLINK("https://cdn.sisaon.co.kr/news/photo/202606/201832_302679_5520.jpg", IMAGE("https://cdn.sisaon.co.kr/news/photo/202606/201832_302679_5520.jpg"))</f>
        <v/>
      </c>
    </row>
    <row r="138">
      <c r="A138" t="n">
        <v>137</v>
      </c>
      <c r="B138" t="inlineStr">
        <is>
          <t>지자체-정치권-학계 '찰떡공조' 빛나</t>
        </is>
      </c>
      <c r="C138" t="inlineStr">
        <is>
          <t>http://www.jjn.co.kr/news/articleView.html?idxno=1043516</t>
        </is>
      </c>
      <c r="D138" t="inlineStr">
        <is>
          <t>Sun, 14 Jun 2026 18:24:00 +0900</t>
        </is>
      </c>
      <c r="E138">
        <f>HYPERLINK("http://www.jjn.co.kr/image/logo/snslogo_20220512034033.png", IMAGE("http://www.jjn.co.kr/image/logo/snslogo_20220512034033.png"))</f>
        <v/>
      </c>
    </row>
    <row r="139">
      <c r="A139" t="n">
        <v>138</v>
      </c>
      <c r="B139" t="inlineStr">
        <is>
          <t>방산혁신클러스터 선정 의미와 남은 과제</t>
        </is>
      </c>
      <c r="C139" t="inlineStr">
        <is>
          <t>https://www.jjan.kr/article/20260614500064</t>
        </is>
      </c>
      <c r="D139" t="inlineStr">
        <is>
          <t>Sun, 14 Jun 2026 15:06:00 +0900</t>
        </is>
      </c>
      <c r="E139">
        <f>HYPERLINK("https://cdn.jjan.kr/data2/content/image/2026/06/14/.cache/512/20260614500348.jpg", IMAGE("https://cdn.jjan.kr/data2/content/image/2026/06/14/.cache/512/20260614500348.jpg"))</f>
        <v/>
      </c>
    </row>
    <row r="140">
      <c r="A140" t="n">
        <v>139</v>
      </c>
      <c r="B140" t="inlineStr">
        <is>
          <t>전북·전주 방산클러스터 선정…지자체·정치권·학계 '삼각 공조' 결실</t>
        </is>
      </c>
      <c r="C140" t="inlineStr">
        <is>
          <t>https://n.news.naver.com/mnews/article/421/0009001684?sid=102</t>
        </is>
      </c>
      <c r="D140" t="inlineStr">
        <is>
          <t>Sat, 13 Jun 2026 10:37:00 +0900</t>
        </is>
      </c>
      <c r="E140">
        <f>HYPERLINK("https://imgnews.pstatic.net/image/421/2026/06/13/0009001684_001_20260613103710152.jpg?type=w800", IMAGE("https://imgnews.pstatic.net/image/421/2026/06/13/0009001684_001_20260613103710152.jpg?type=w800"))</f>
        <v/>
      </c>
    </row>
    <row r="141">
      <c r="A141" t="n">
        <v>140</v>
      </c>
      <c r="B141" t="inlineStr">
        <is>
          <t>유통기한 지난 라면 먹으며 버텼다...K9 이집트 '2조' 수출의 주역은</t>
        </is>
      </c>
      <c r="C141" t="inlineStr">
        <is>
          <t>https://n.news.naver.com/mnews/article/469/0000934040?sid=100</t>
        </is>
      </c>
      <c r="D141" t="inlineStr">
        <is>
          <t>Tue, 02 Jun 2026 14:01:00 +0900</t>
        </is>
      </c>
      <c r="E141">
        <f>HYPERLINK("https://imgnews.pstatic.net/image/469/2026/06/02/0000934040_001_20260602144013083.jpg?type=w800", IMAGE("https://imgnews.pstatic.net/image/469/2026/06/02/0000934040_001_20260602144013083.jpg?type=w800"))</f>
        <v/>
      </c>
    </row>
    <row r="142">
      <c r="A142" t="n">
        <v>141</v>
      </c>
      <c r="B142" t="inlineStr">
        <is>
          <t>미국 장비 분해로 시작...'독자 개발' K9, 세계 자주포 시장 절반 삼켰다</t>
        </is>
      </c>
      <c r="C142" t="inlineStr">
        <is>
          <t>https://n.news.naver.com/mnews/article/469/0000931558?sid=100</t>
        </is>
      </c>
      <c r="D142" t="inlineStr">
        <is>
          <t>Tue, 19 May 2026 14:01:00 +0900</t>
        </is>
      </c>
      <c r="E142">
        <f>HYPERLINK("https://imgnews.pstatic.net/image/469/2026/05/19/0000931558_001_20260519140123824.jpg?type=w800", IMAGE("https://imgnews.pstatic.net/image/469/2026/05/19/0000931558_001_20260519140123824.jpg?type=w800"))</f>
        <v/>
      </c>
    </row>
    <row r="143">
      <c r="A143" t="n">
        <v>142</v>
      </c>
      <c r="B143" t="inlineStr">
        <is>
          <t>전북대, 방사청 '국방사업관리사' 교육 2년 연속 주관기관 선정</t>
        </is>
      </c>
      <c r="C143" t="inlineStr">
        <is>
          <t>http://www.jeonmin.co.kr/news/articleView.html?idxno=439938</t>
        </is>
      </c>
      <c r="D143" t="inlineStr">
        <is>
          <t>Sun, 17 May 2026 22:30:00 +0900</t>
        </is>
      </c>
      <c r="E143">
        <f>HYPERLINK("http://www.jeonmin.co.kr/news/thumbnail/202605/439938_149008_246_v150.jpg", IMAGE("http://www.jeonmin.co.kr/news/thumbnail/202605/439938_149008_246_v150.jpg"))</f>
        <v/>
      </c>
    </row>
    <row r="144">
      <c r="A144" t="n">
        <v>143</v>
      </c>
      <c r="B144" t="inlineStr">
        <is>
          <t>'방산 전문인력' 전북서 키운다···전북대, 교육과정 재학생·현장 투...</t>
        </is>
      </c>
      <c r="C144" t="inlineStr">
        <is>
          <t>http://www.enewstoday.co.kr/news/articleView.html?idxno=2429866</t>
        </is>
      </c>
      <c r="D144" t="inlineStr">
        <is>
          <t>Fri, 15 May 2026 14:38:00 +0900</t>
        </is>
      </c>
      <c r="E144">
        <f>HYPERLINK("https://cdn.enewstoday.co.kr/news/thumbnail/202605/2429866_1264342_3744_v150.jpg", IMAGE("https://cdn.enewstoday.co.kr/news/thumbnail/202605/2429866_1264342_3744_v150.jpg"))</f>
        <v/>
      </c>
    </row>
    <row r="145">
      <c r="A145" t="n">
        <v>144</v>
      </c>
      <c r="B145" t="inlineStr">
        <is>
          <t>“방산 인재 키운다”…전북대, 국방사업관리사 교육 2년 연속 맡는다</t>
        </is>
      </c>
      <c r="C145" t="inlineStr">
        <is>
          <t>https://n.news.naver.com/mnews/article/002/0002441535?sid=102</t>
        </is>
      </c>
      <c r="D145" t="inlineStr">
        <is>
          <t>Fri, 15 May 2026 13:07:00 +0900</t>
        </is>
      </c>
      <c r="E145">
        <f>HYPERLINK("https://imgnews.pstatic.net/image/002/2026/05/15/0002441535_001_20260515130711426.jpg?type=w800", IMAGE("https://imgnews.pstatic.net/image/002/2026/05/15/0002441535_001_20260515130711426.jpg?type=w800"))</f>
        <v/>
      </c>
    </row>
    <row r="146">
      <c r="A146" t="n">
        <v>145</v>
      </c>
      <c r="B146" t="inlineStr">
        <is>
          <t>전북대, K-방산 도약 이끌 국방사업관리 전문 인력 양성 박차</t>
        </is>
      </c>
      <c r="C146" t="inlineStr">
        <is>
          <t>https://news.unn.net/news/articleView.html?idxno=592587</t>
        </is>
      </c>
      <c r="D146" t="inlineStr">
        <is>
          <t>Fri, 15 May 2026 11:26:00 +0900</t>
        </is>
      </c>
      <c r="E146">
        <f>HYPERLINK("https://cdn.news.unn.net/news/thumbnail/202605/592587_415811_246_v150.jpg", IMAGE("https://cdn.news.unn.net/news/thumbnail/202605/592587_415811_246_v150.jpg"))</f>
        <v/>
      </c>
    </row>
    <row r="147">
      <c r="A147" t="n">
        <v>146</v>
      </c>
      <c r="B147" t="inlineStr">
        <is>
          <t>尹정부 예산 삭감에 날개 꺾였던 K방산... 향후 3년이 골든타임이다</t>
        </is>
      </c>
      <c r="C147" t="inlineStr">
        <is>
          <t>https://n.news.naver.com/mnews/article/469/0000929083?sid=100</t>
        </is>
      </c>
      <c r="D147" t="inlineStr">
        <is>
          <t>Tue, 05 May 2026 14:00:00 +0900</t>
        </is>
      </c>
      <c r="E147" t="inlineStr">
        <is>
          <t>이미지 없음</t>
        </is>
      </c>
    </row>
    <row r="148">
      <c r="A148" t="n">
        <v>147</v>
      </c>
      <c r="B148" t="inlineStr">
        <is>
          <t>[뉴스이용자위원회] &amp;quot;유익하지만 유료화 가능할까 의문... 심층 기획이 ...</t>
        </is>
      </c>
      <c r="C148" t="inlineStr">
        <is>
          <t>https://n.news.naver.com/mnews/article/469/0000928975?sid=103</t>
        </is>
      </c>
      <c r="D148" t="inlineStr">
        <is>
          <t>Mon, 04 May 2026 17:30:00 +0900</t>
        </is>
      </c>
      <c r="E148">
        <f>HYPERLINK("https://imgnews.pstatic.net/image/469/2026/05/04/0000928975_001_20260505061121922.jpg?type=w800", IMAGE("https://imgnews.pstatic.net/image/469/2026/05/04/0000928975_001_20260505061121922.jpg?type=w800"))</f>
        <v/>
      </c>
    </row>
    <row r="149">
      <c r="A149" t="n">
        <v>148</v>
      </c>
      <c r="B149" t="inlineStr">
        <is>
          <t>추미애, 핵심 공약 직접 챙긴다</t>
        </is>
      </c>
      <c r="C149" t="inlineStr">
        <is>
          <t>http://www.suwonilbo.kr/news/articleView.html?idxno=315789</t>
        </is>
      </c>
      <c r="D149" t="inlineStr">
        <is>
          <t>Fri, 01 May 2026 17:08:00 +0900</t>
        </is>
      </c>
      <c r="E149">
        <f>HYPERLINK("https://cdn.suwonilbo.kr/news/photo/202605/315789_220410_00.jpg", IMAGE("https://cdn.suwonilbo.kr/news/photo/202605/315789_220410_00.jpg"))</f>
        <v/>
      </c>
    </row>
    <row r="150">
      <c r="A150" t="n">
        <v>149</v>
      </c>
      <c r="B150" t="inlineStr">
        <is>
          <t>전북대, 피지컬AI 국방·항공우주·로봇·자율제조 분야 최신 기술 공유</t>
        </is>
      </c>
      <c r="C150" t="inlineStr">
        <is>
          <t>https://n.news.naver.com/mnews/article/030/0003421490?sid=102</t>
        </is>
      </c>
      <c r="D150" t="inlineStr">
        <is>
          <t>Fri, 24 Apr 2026 17:19:00 +0900</t>
        </is>
      </c>
      <c r="E150">
        <f>HYPERLINK("https://imgnews.pstatic.net/image/030/2026/04/24/0003421490_001_20260424171913080.jpg?type=w800", IMAGE("https://imgnews.pstatic.net/image/030/2026/04/24/0003421490_001_20260424171913080.jpg?type=w800"))</f>
        <v/>
      </c>
    </row>
    <row r="151">
      <c r="A151" t="n">
        <v>150</v>
      </c>
      <c r="B151" t="inlineStr">
        <is>
          <t>전북대 주도 AI 학술대회 무주서 열렸다…국방·로봇 핵심 기술 총집결</t>
        </is>
      </c>
      <c r="C151" t="inlineStr">
        <is>
          <t>https://www.betanews.net/article/view/beta202604240028</t>
        </is>
      </c>
      <c r="D151" t="inlineStr">
        <is>
          <t>Fri, 24 Apr 2026 14:16:00 +0900</t>
        </is>
      </c>
      <c r="E151">
        <f>HYPERLINK("https://www.betanews.net/data/beta/image/2026/04/24/beta20260424000033.jpg", IMAGE("https://www.betanews.net/data/beta/image/2026/04/24/beta20260424000033.jpg"))</f>
        <v/>
      </c>
    </row>
    <row r="152">
      <c r="A152" t="n">
        <v>151</v>
      </c>
      <c r="B152" t="inlineStr">
        <is>
          <t>피지컬AI 중심 첨단 연구 성과 전북대에서 공유</t>
        </is>
      </c>
      <c r="C152" t="inlineStr">
        <is>
          <t>https://www.veritas-a.com/news/articleView.html?idxno=607296</t>
        </is>
      </c>
      <c r="D152" t="inlineStr">
        <is>
          <t>Fri, 24 Apr 2026 13:52:00 +0900</t>
        </is>
      </c>
      <c r="E152">
        <f>HYPERLINK("https://cdn.veritas-a.com/news/thumbnail/202604/607296_520659_5152_v150.jpg", IMAGE("https://cdn.veritas-a.com/news/thumbnail/202604/607296_520659_5152_v150.jpg"))</f>
        <v/>
      </c>
    </row>
    <row r="153">
      <c r="A153" t="n">
        <v>152</v>
      </c>
      <c r="B153" t="inlineStr">
        <is>
          <t>방사청, '거짓말' 의혹에 청와대 감사까지 받았지만…KF-21 탄생의 씨앗...</t>
        </is>
      </c>
      <c r="C153" t="inlineStr">
        <is>
          <t>https://n.news.naver.com/mnews/article/469/0000926654?sid=100</t>
        </is>
      </c>
      <c r="D153" t="inlineStr">
        <is>
          <t>Tue, 21 Apr 2026 14:01:00 +0900</t>
        </is>
      </c>
      <c r="E153">
        <f>HYPERLINK("https://imgnews.pstatic.net/image/469/2026/04/21/0000926654_001_20260421140118894.jpg?type=w800", IMAGE("https://imgnews.pstatic.net/image/469/2026/04/21/0000926654_001_20260421140118894.jpg?type=w800"))</f>
        <v/>
      </c>
    </row>
    <row r="154">
      <c r="A154" t="n">
        <v>153</v>
      </c>
      <c r="B154" t="inlineStr">
        <is>
          <t>&amp;quot;전북, 더 이상 방산 변방 아냐... 소재·부품·드론 잇는 전략 심장으로...</t>
        </is>
      </c>
      <c r="C154" t="inlineStr">
        <is>
          <t>http://www.jeollailbo.com/news/articleView.html?idxno=798091</t>
        </is>
      </c>
      <c r="D154" t="inlineStr">
        <is>
          <t>Mon, 20 Apr 2026 17:10:00 +0900</t>
        </is>
      </c>
      <c r="E154">
        <f>HYPERLINK("https://cdn.jeollailbo.com/news/thumbnail/202604/798091_185937_96_v150.jpg", IMAGE("https://cdn.jeollailbo.com/news/thumbnail/202604/798091_185937_96_v150.jpg"))</f>
        <v/>
      </c>
    </row>
    <row r="155">
      <c r="A155" t="n">
        <v>154</v>
      </c>
      <c r="B155" t="inlineStr">
        <is>
          <t>“5~6년 내 전북이 K-방산 핵심축 될 것”…군산김제부안을 '출사표' 던...</t>
        </is>
      </c>
      <c r="C155" t="inlineStr">
        <is>
          <t>https://n.news.naver.com/mnews/article/002/0002438263?sid=102</t>
        </is>
      </c>
      <c r="D155" t="inlineStr">
        <is>
          <t>Mon, 20 Apr 2026 16:57:00 +0900</t>
        </is>
      </c>
      <c r="E155">
        <f>HYPERLINK("https://imgnews.pstatic.net/image/002/2026/04/20/0002438263_001_20260420175215332.jpg?type=w800", IMAGE("https://imgnews.pstatic.net/image/002/2026/04/20/0002438263_001_20260420175215332.jpg?type=w800"))</f>
        <v/>
      </c>
    </row>
    <row r="156">
      <c r="A156" t="n">
        <v>155</v>
      </c>
      <c r="B156" t="inlineStr">
        <is>
          <t>김병주 &amp;quot;전북 탄소가 K-방산 뼈대 만들 것&amp;quot;</t>
        </is>
      </c>
      <c r="C156" t="inlineStr">
        <is>
          <t>http://www.jeollailbo.com/news/articleView.html?idxno=797974</t>
        </is>
      </c>
      <c r="D156" t="inlineStr">
        <is>
          <t>Sun, 19 Apr 2026 14:00:00 +0900</t>
        </is>
      </c>
      <c r="E156">
        <f>HYPERLINK("https://cdn.jeollailbo.com/news/thumbnail/202604/797974_185814_5559_v150.jpg", IMAGE("https://cdn.jeollailbo.com/news/thumbnail/202604/797974_185814_5559_v150.jpg"))</f>
        <v/>
      </c>
    </row>
    <row r="157">
      <c r="A157" t="n">
        <v>156</v>
      </c>
      <c r="B157" t="inlineStr">
        <is>
          <t>[단독]‘친명’ 청와대 인사 추가 출사표…이광수 전 선임행정관 “전북...</t>
        </is>
      </c>
      <c r="C157" t="inlineStr">
        <is>
          <t>https://n.news.naver.com/mnews/article/449/0000342149?sid=100</t>
        </is>
      </c>
      <c r="D157" t="inlineStr">
        <is>
          <t>Fri, 17 Apr 2026 20:18:00 +0900</t>
        </is>
      </c>
      <c r="E157">
        <f>HYPERLINK("https://imgnews.pstatic.net/image/449/2026/04/17/0000342149_001_20260417201911556.jpg?type=w800", IMAGE("https://imgnews.pstatic.net/image/449/2026/04/17/0000342149_001_20260417201911556.jpg?type=w800"))</f>
        <v/>
      </c>
    </row>
    <row r="158">
      <c r="A158" t="n">
        <v>157</v>
      </c>
      <c r="B158" t="inlineStr">
        <is>
          <t>국회, K-방산 공급망 세미나 열려…'민관 협력·인증 생태계' 구축 시급</t>
        </is>
      </c>
      <c r="C158" t="inlineStr">
        <is>
          <t>https://n.news.naver.com/mnews/article/030/0003417631?sid=105</t>
        </is>
      </c>
      <c r="D158" t="inlineStr">
        <is>
          <t>Tue, 14 Apr 2026 13:42:00 +0900</t>
        </is>
      </c>
      <c r="E158">
        <f>HYPERLINK("https://imgnews.pstatic.net/image/030/2026/04/14/0003417631_001_20260414194718930.jpg?type=w800", IMAGE("https://imgnews.pstatic.net/image/030/2026/04/14/0003417631_001_20260414194718930.jpg?type=w800"))</f>
        <v/>
      </c>
    </row>
    <row r="159">
      <c r="A159" t="n">
        <v>158</v>
      </c>
      <c r="B159" t="inlineStr">
        <is>
          <t>'K-방산' 미래 경쟁력 강화, 전북 기업과 머리 맞대</t>
        </is>
      </c>
      <c r="C159" t="inlineStr">
        <is>
          <t>http://www.jjn.co.kr/news/articleView.html?idxno=1037820</t>
        </is>
      </c>
      <c r="D159" t="inlineStr">
        <is>
          <t>Sun, 12 Apr 2026 18:28:00 +0900</t>
        </is>
      </c>
      <c r="E159">
        <f>HYPERLINK("https://cdn.jjn.co.kr/news/thumbnail/202604/1037820_263332_274_v150.jpg", IMAGE("https://cdn.jjn.co.kr/news/thumbnail/202604/1037820_263332_274_v150.jpg"))</f>
        <v/>
      </c>
    </row>
    <row r="160">
      <c r="A160" t="n">
        <v>159</v>
      </c>
      <c r="B160" t="inlineStr">
        <is>
          <t>K방산 경쟁력 확보 정책적 지원 방향 모색</t>
        </is>
      </c>
      <c r="C160" t="inlineStr">
        <is>
          <t>https://kookbang.dema.mil.kr/newsWeb/20260413/2/ATCE_CTGR_0010020000/view.do</t>
        </is>
      </c>
      <c r="D160" t="inlineStr">
        <is>
          <t>Sun, 12 Apr 2026 16:32:00 +0900</t>
        </is>
      </c>
      <c r="E160" t="inlineStr">
        <is>
          <t>이미지 없음</t>
        </is>
      </c>
    </row>
    <row r="161">
      <c r="A161" t="n">
        <v>160</v>
      </c>
      <c r="B161" t="inlineStr">
        <is>
          <t>이용철 방위사업청장, 전북서 'K-방산 미래 경쟁력' 해법 찾는다</t>
        </is>
      </c>
      <c r="C161" t="inlineStr">
        <is>
          <t>http://www.jeonmin.co.kr/news/articleView.html?idxno=437704</t>
        </is>
      </c>
      <c r="D161" t="inlineStr">
        <is>
          <t>Sun, 12 Apr 2026 12:34:00 +0900</t>
        </is>
      </c>
      <c r="E161">
        <f>HYPERLINK("http://www.jeonmin.co.kr/news/thumbnail/202604/437704_146952_2517_v150.jpg", IMAGE("http://www.jeonmin.co.kr/news/thumbnail/202604/437704_146952_2517_v150.jpg"))</f>
        <v/>
      </c>
    </row>
    <row r="162">
      <c r="A162" t="n">
        <v>161</v>
      </c>
      <c r="B162" t="inlineStr">
        <is>
          <t>전북대 찾은 방사청…K방산 공급망 재편 신호</t>
        </is>
      </c>
      <c r="C162" t="inlineStr">
        <is>
          <t>https://www.newsfreezone.co.kr/news/articleView.html?idxno=684675</t>
        </is>
      </c>
      <c r="D162" t="inlineStr">
        <is>
          <t>Fri, 10 Apr 2026 19:56:00 +0900</t>
        </is>
      </c>
      <c r="E162">
        <f>HYPERLINK("https://cdn.newsfreezone.co.kr/news/thumbnail/202604/684675_727738_5335_v150.jpg", IMAGE("https://cdn.newsfreezone.co.kr/news/thumbnail/202604/684675_727738_5335_v150.jpg"))</f>
        <v/>
      </c>
    </row>
    <row r="163">
      <c r="A163" t="n">
        <v>162</v>
      </c>
      <c r="B163" t="inlineStr">
        <is>
          <t>방사청-전북 방산기업 간담회…공급망 자립·지역산업 활성화 모색</t>
        </is>
      </c>
      <c r="C163" t="inlineStr">
        <is>
          <t>https://n.news.naver.com/mnews/article/421/0008883068?sid=100</t>
        </is>
      </c>
      <c r="D163" t="inlineStr">
        <is>
          <t>Fri, 10 Apr 2026 17:30:00 +0900</t>
        </is>
      </c>
      <c r="E163">
        <f>HYPERLINK("https://imgnews.pstatic.net/image/421/2026/04/10/0008883068_001_20260410212912290.jpg?type=w800", IMAGE("https://imgnews.pstatic.net/image/421/2026/04/10/0008883068_001_20260410212912290.jpg?type=w800"))</f>
        <v/>
      </c>
    </row>
    <row r="164">
      <c r="A164" t="n">
        <v>163</v>
      </c>
      <c r="B164" t="inlineStr">
        <is>
          <t>이돈승 완주군수 예비후보, 'K-방산 도시 추진단' 구성</t>
        </is>
      </c>
      <c r="C164" t="inlineStr">
        <is>
          <t>http://www.newstnt.com/news/articleView.html?idxno=605880</t>
        </is>
      </c>
      <c r="D164" t="inlineStr">
        <is>
          <t>Thu, 09 Apr 2026 11:42:00 +0900</t>
        </is>
      </c>
      <c r="E164">
        <f>HYPERLINK("https://cdn.newstnt.com/news/photo/202604/605880_634006_3841.jpg", IMAGE("https://cdn.newstnt.com/news/photo/202604/605880_634006_3841.jpg"))</f>
        <v/>
      </c>
    </row>
    <row r="165">
      <c r="A165" t="n">
        <v>164</v>
      </c>
      <c r="B165" t="inlineStr">
        <is>
          <t>이돈승 '방산-수소' 전문가 영입··· 완주산업 재편</t>
        </is>
      </c>
      <c r="C165" t="inlineStr">
        <is>
          <t>http://www.jjn.co.kr/news/articleView.html?idxno=1037411</t>
        </is>
      </c>
      <c r="D165" t="inlineStr">
        <is>
          <t>Tue, 07 Apr 2026 19:46:00 +0900</t>
        </is>
      </c>
      <c r="E165">
        <f>HYPERLINK("https://cdn.jjn.co.kr/news/thumbnail/202604/1037411_263083_1916_v150.jpg", IMAGE("https://cdn.jjn.co.kr/news/thumbnail/202604/1037411_263083_1916_v150.jpg"))</f>
        <v/>
      </c>
    </row>
    <row r="166">
      <c r="A166" t="n">
        <v>165</v>
      </c>
      <c r="B166" t="inlineStr">
        <is>
          <t>이돈승 “수소·방산으로 완주 산업 재편”…실행 조직 구상 제시</t>
        </is>
      </c>
      <c r="C166" t="inlineStr">
        <is>
          <t>https://n.news.naver.com/mnews/article/002/0002435956?sid=102</t>
        </is>
      </c>
      <c r="D166" t="inlineStr">
        <is>
          <t>Tue, 07 Apr 2026 16:13:00 +0900</t>
        </is>
      </c>
      <c r="E166" t="inlineStr">
        <is>
          <t>이미지 없음</t>
        </is>
      </c>
    </row>
    <row r="167">
      <c r="A167" t="n">
        <v>166</v>
      </c>
      <c r="B167" t="inlineStr">
        <is>
          <t>이돈승 예비후보, 완주 성장 이끌 방산·수소전문가 영입</t>
        </is>
      </c>
      <c r="C167" t="inlineStr">
        <is>
          <t>https://n.news.naver.com/mnews/article/031/0001020297?sid=102</t>
        </is>
      </c>
      <c r="D167" t="inlineStr">
        <is>
          <t>Tue, 07 Apr 2026 15:53:00 +0900</t>
        </is>
      </c>
      <c r="E167">
        <f>HYPERLINK("https://imgnews.pstatic.net/image/031/2026/04/07/0001020297_001_20260407155307222.jpg?type=w800", IMAGE("https://imgnews.pstatic.net/image/031/2026/04/07/0001020297_001_20260407155307222.jpg?type=w800"))</f>
        <v/>
      </c>
    </row>
    <row r="168">
      <c r="A168" t="n">
        <v>167</v>
      </c>
      <c r="B168" t="inlineStr">
        <is>
          <t>&amp;quot;야당 첩자&amp;quot; 소리 들으며 방사청 지켜낸 사람들…K방산 수출 신화의 뒷...</t>
        </is>
      </c>
      <c r="C168" t="inlineStr">
        <is>
          <t>https://n.news.naver.com/mnews/article/469/0000924040?sid=100</t>
        </is>
      </c>
      <c r="D168" t="inlineStr">
        <is>
          <t>Tue, 07 Apr 2026 14:01:00 +0900</t>
        </is>
      </c>
      <c r="E168">
        <f>HYPERLINK("https://imgnews.pstatic.net/image/469/2026/04/07/0000924040_001_20260407140121172.jpg?type=w800", IMAGE("https://imgnews.pstatic.net/image/469/2026/04/07/0000924040_001_20260407140121172.jpg?type=w800"))</f>
        <v/>
      </c>
    </row>
    <row r="169">
      <c r="A169" t="n">
        <v>168</v>
      </c>
      <c r="B169" t="inlineStr">
        <is>
          <t>정체기 맞은 K-방산, 향후 대형 수주로 반등 노린다</t>
        </is>
      </c>
      <c r="C169" t="inlineStr">
        <is>
          <t>https://www.m-i.kr/news/articleView.html?idxno=1405767</t>
        </is>
      </c>
      <c r="D169" t="inlineStr">
        <is>
          <t>Tue, 25 Aug 2026 15:36:00 +0900</t>
        </is>
      </c>
      <c r="E169">
        <f>HYPERLINK("https://cdn.m-i.kr/news/photo/202608/1405767_1193937_3424.jpg", IMAGE("https://cdn.m-i.kr/news/photo/202608/1405767_1193937_3424.jpg"))</f>
        <v/>
      </c>
    </row>
    <row r="170">
      <c r="A170" t="n">
        <v>169</v>
      </c>
      <c r="B170" t="inlineStr">
        <is>
          <t>'방산기업 미래 전략은?' 3회 전북 방위산업 육성 세미나</t>
        </is>
      </c>
      <c r="C170" t="inlineStr">
        <is>
          <t>https://n.news.naver.com/mnews/article/003/0014139089?sid=102</t>
        </is>
      </c>
      <c r="D170" t="inlineStr">
        <is>
          <t>Thu, 20 Aug 2026 17:02:00 +0900</t>
        </is>
      </c>
      <c r="E170">
        <f>HYPERLINK("https://imgnews.pstatic.net/image/003/2026/08/20/NISI20260820_0002217273_web_20260820164120_20260820170319831.jpg?type=w800", IMAGE("https://imgnews.pstatic.net/image/003/2026/08/20/NISI20260820_0002217273_web_20260820164120_20260820170319831.jpg?type=w800"))</f>
        <v/>
      </c>
    </row>
    <row r="171">
      <c r="A171" t="n">
        <v>170</v>
      </c>
      <c r="B171" t="inlineStr">
        <is>
          <t>K9 미국에 첫 수출…한화, 10조까지 넘본다</t>
        </is>
      </c>
      <c r="C171" t="inlineStr">
        <is>
          <t>https://n.news.naver.com/mnews/article/025/0003545459?sid=101</t>
        </is>
      </c>
      <c r="D171" t="inlineStr">
        <is>
          <t>Thu, 20 Aug 2026 00:02:00 +0900</t>
        </is>
      </c>
      <c r="E171">
        <f>HYPERLINK("https://imgnews.pstatic.net/image/025/2026/08/20/0003545459_001_20260820000423486.jpg?type=w800", IMAGE("https://imgnews.pstatic.net/image/025/2026/08/20/0003545459_001_20260820000423486.jpg?type=w800"))</f>
        <v/>
      </c>
    </row>
    <row r="172">
      <c r="A172" t="n">
        <v>171</v>
      </c>
      <c r="B172" t="inlineStr">
        <is>
          <t>‘분당 9발’로 미국 사로잡은 K9 자주포</t>
        </is>
      </c>
      <c r="C172" t="inlineStr">
        <is>
          <t>https://n.news.naver.com/mnews/article/449/0000357459?sid=100</t>
        </is>
      </c>
      <c r="D172" t="inlineStr">
        <is>
          <t>Wed, 19 Aug 2026 19:53:00 +0900</t>
        </is>
      </c>
      <c r="E172">
        <f>HYPERLINK("https://imgnews.pstatic.net/image/449/2026/08/19/0000357459_001_20260819200539091.jpeg?type=w800", IMAGE("https://imgnews.pstatic.net/image/449/2026/08/19/0000357459_001_20260819200539091.jpeg?type=w800"))</f>
        <v/>
      </c>
    </row>
    <row r="173">
      <c r="A173" t="n">
        <v>172</v>
      </c>
      <c r="B173" t="inlineStr">
        <is>
          <t>한화, 美 육군 뚫었다…K9 자주포 계약금만 '무려'</t>
        </is>
      </c>
      <c r="C173" t="inlineStr">
        <is>
          <t>https://n.news.naver.com/mnews/article/374/0000528273?sid=101</t>
        </is>
      </c>
      <c r="D173" t="inlineStr">
        <is>
          <t>Wed, 19 Aug 2026 18:28:00 +0900</t>
        </is>
      </c>
      <c r="E173">
        <f>HYPERLINK("https://imgnews.pstatic.net/image/374/2026/08/19/0000528273_001_20260820074610873.jpg?type=w800", IMAGE("https://imgnews.pstatic.net/image/374/2026/08/19/0000528273_001_20260820074610873.jpg?type=w800"))</f>
        <v/>
      </c>
    </row>
    <row r="174">
      <c r="A174" t="n">
        <v>173</v>
      </c>
      <c r="B174" t="inlineStr">
        <is>
          <t>K방산 미국 시장 뚫었다…한화 K9, 美육군 차세대 자주포 계약</t>
        </is>
      </c>
      <c r="C174" t="inlineStr">
        <is>
          <t>https://n.news.naver.com/mnews/article/025/0003545338?sid=101</t>
        </is>
      </c>
      <c r="D174" t="inlineStr">
        <is>
          <t>Wed, 19 Aug 2026 14:50:00 +0900</t>
        </is>
      </c>
      <c r="E174" t="inlineStr">
        <is>
          <t>이미지 없음</t>
        </is>
      </c>
    </row>
    <row r="175">
      <c r="A175" t="n">
        <v>174</v>
      </c>
      <c r="B175" t="inlineStr">
        <is>
          <t>美 '함정 건조' 문 열리나···K조선에 남을 진짜 실익은?</t>
        </is>
      </c>
      <c r="C175" t="inlineStr">
        <is>
          <t>http://www.enewstoday.co.kr/news/articleView.html?idxno=2460421</t>
        </is>
      </c>
      <c r="D175" t="inlineStr">
        <is>
          <t>Wed, 19 Aug 2026 08:00:00 +0900</t>
        </is>
      </c>
      <c r="E175">
        <f>HYPERLINK("https://cdn.enewstoday.co.kr/news/thumbnail/202608/2460421_1301267_1921_v150.jpg", IMAGE("https://cdn.enewstoday.co.kr/news/thumbnail/202608/2460421_1301267_1921_v150.jpg"))</f>
        <v/>
      </c>
    </row>
    <row r="176">
      <c r="A176" t="n">
        <v>175</v>
      </c>
      <c r="B176" t="inlineStr">
        <is>
          <t>한화, KAI 이어 오스탈까지…확대되는 ‘한국판 록히드마틴’ 구상</t>
        </is>
      </c>
      <c r="C176" t="inlineStr">
        <is>
          <t>https://www.g-enews.com/view.php?ud=202608121305118853ea14faf6f5_1</t>
        </is>
      </c>
      <c r="D176" t="inlineStr">
        <is>
          <t>Wed, 12 Aug 2026 14:10:00 +0900</t>
        </is>
      </c>
      <c r="E176">
        <f>HYPERLINK("https://nimage.g-enews.com/phpwas/restmb_allidxmake.php?idx=5&amp;simg=2026081213290302924ea14faf6f521123420134.jpg", IMAGE("https://nimage.g-enews.com/phpwas/restmb_allidxmake.php?idx=5&amp;simg=2026081213290302924ea14faf6f521123420134.jpg"))</f>
        <v/>
      </c>
    </row>
    <row r="177">
      <c r="A177" t="n">
        <v>176</v>
      </c>
      <c r="B177" t="inlineStr">
        <is>
          <t>필리조선소 다음은 오스탈…한화, 美 군함시장 정조준</t>
        </is>
      </c>
      <c r="C177" t="inlineStr">
        <is>
          <t>https://www.newsway.co.kr/news/view?ud=2026081213102422886</t>
        </is>
      </c>
      <c r="D177" t="inlineStr">
        <is>
          <t>Wed, 12 Aug 2026 13:32:00 +0900</t>
        </is>
      </c>
      <c r="E177">
        <f>HYPERLINK("https://nimage.newsway.co.kr/photo/2026/01/09/20260109000008_1200.jpg", IMAGE("https://nimage.newsway.co.kr/photo/2026/01/09/20260109000008_1200.jpg"))</f>
        <v/>
      </c>
    </row>
    <row r="178">
      <c r="A178" t="n">
        <v>177</v>
      </c>
      <c r="B178" t="inlineStr">
        <is>
          <t>K-방산의 아픈 손 KAI…'공공 틀' 갇혀 자생력 한계</t>
        </is>
      </c>
      <c r="C178" t="inlineStr">
        <is>
          <t>https://news.einfomax.co.kr/news/articleView.html?idxno=4429567</t>
        </is>
      </c>
      <c r="D178" t="inlineStr">
        <is>
          <t>Tue, 11 Aug 2026 13:12:00 +0900</t>
        </is>
      </c>
      <c r="E178">
        <f>HYPERLINK("https://cdn.news.einfomax.co.kr/news/thumbnail/202608/4429567_336147_562_v150.jpg", IMAGE("https://cdn.news.einfomax.co.kr/news/thumbnail/202608/4429567_336147_562_v150.jpg"))</f>
        <v/>
      </c>
    </row>
    <row r="179">
      <c r="A179" t="n">
        <v>178</v>
      </c>
      <c r="B179" t="inlineStr">
        <is>
          <t>[기획]&amp;quot;가성비만으론 한계&amp;quot;…K-방산, 성장 전략 다시 짜야</t>
        </is>
      </c>
      <c r="C179" t="inlineStr">
        <is>
          <t>https://www.m-i.kr/news/articleView.html?idxno=1400586</t>
        </is>
      </c>
      <c r="D179" t="inlineStr">
        <is>
          <t>Mon, 10 Aug 2026 15:30:00 +0900</t>
        </is>
      </c>
      <c r="E179">
        <f>HYPERLINK("https://cdn.m-i.kr/news/photo/202608/1400586_1188464_1020.jpg", IMAGE("https://cdn.m-i.kr/news/photo/202608/1400586_1188464_1020.jpg"))</f>
        <v/>
      </c>
    </row>
    <row r="180">
      <c r="A180" t="n">
        <v>179</v>
      </c>
      <c r="B180" t="inlineStr">
        <is>
          <t>1800문 깔린 한화 K-9, 애프터마켓도 커진다</t>
        </is>
      </c>
      <c r="C180" t="inlineStr">
        <is>
          <t>https://www.m-i.kr/news/articleView.html?idxno=1397184</t>
        </is>
      </c>
      <c r="D180" t="inlineStr">
        <is>
          <t>Thu, 30 Jul 2026 14:12:00 +0900</t>
        </is>
      </c>
      <c r="E180">
        <f>HYPERLINK("https://cdn.m-i.kr/news/photo/202607/1397184_1185010_558.jpg", IMAGE("https://cdn.m-i.kr/news/photo/202607/1397184_1185010_558.jpg"))</f>
        <v/>
      </c>
    </row>
    <row r="181">
      <c r="A181" t="n">
        <v>180</v>
      </c>
      <c r="B181" t="inlineStr">
        <is>
          <t>[무기 된 AI, K방산 좌표]①방산 4社 AI 무장 끝냈지만…낡은 인증제도가...</t>
        </is>
      </c>
      <c r="C181" t="inlineStr">
        <is>
          <t>https://n.news.naver.com/mnews/article/277/0005796140?sid=101</t>
        </is>
      </c>
      <c r="D181" t="inlineStr">
        <is>
          <t>Wed, 29 Jul 2026 10:47:00 +0900</t>
        </is>
      </c>
      <c r="E181" t="inlineStr">
        <is>
          <t>이미지 없음</t>
        </is>
      </c>
    </row>
    <row r="182">
      <c r="A182" t="n">
        <v>181</v>
      </c>
      <c r="B182" t="inlineStr">
        <is>
          <t>“한일, 해양수송로 공유… 분쟁시 운명공동체 될 것”</t>
        </is>
      </c>
      <c r="C182" t="inlineStr">
        <is>
          <t>https://n.news.naver.com/mnews/article/020/0003737284?sid=104</t>
        </is>
      </c>
      <c r="D182" t="inlineStr">
        <is>
          <t>Wed, 29 Jul 2026 04:36:00 +0900</t>
        </is>
      </c>
      <c r="E182">
        <f>HYPERLINK("https://imgnews.pstatic.net/image/020/2026/07/29/0003737284_001_20260729104016198.jpg?type=w800", IMAGE("https://imgnews.pstatic.net/image/020/2026/07/29/0003737284_001_20260729104016198.jpg?type=w800"))</f>
        <v/>
      </c>
    </row>
    <row r="183">
      <c r="A183" t="n">
        <v>182</v>
      </c>
      <c r="B183" t="inlineStr">
        <is>
          <t>[기획]북미서 고배 마셨지만…HD현대·한화, 남미 함정 수요 정조준</t>
        </is>
      </c>
      <c r="C183" t="inlineStr">
        <is>
          <t>https://www.m-i.kr/news/articleView.html?idxno=1395625</t>
        </is>
      </c>
      <c r="D183" t="inlineStr">
        <is>
          <t>Mon, 27 Jul 2026 15:38:00 +0900</t>
        </is>
      </c>
      <c r="E183">
        <f>HYPERLINK("https://cdn.m-i.kr/news/photo/202607/1395625_1183389_4926.jpg", IMAGE("https://cdn.m-i.kr/news/photo/202607/1395625_1183389_4926.jpg"))</f>
        <v/>
      </c>
    </row>
    <row r="184">
      <c r="A184" t="n">
        <v>183</v>
      </c>
      <c r="B184" t="inlineStr">
        <is>
          <t>포티투마루, ‘K-팔란티어’ 육성 위한 ‘국방 AI 생태계’ 전략 제시</t>
        </is>
      </c>
      <c r="C184" t="inlineStr">
        <is>
          <t>https://www.etoday.co.kr/news/view/2605457</t>
        </is>
      </c>
      <c r="D184" t="inlineStr">
        <is>
          <t>Tue, 21 Jul 2026 08:32:00 +0900</t>
        </is>
      </c>
      <c r="E184">
        <f>HYPERLINK("https://img.etoday.co.kr/pto_db/2026/07/20260721082646_2361751_1000_276.png", IMAGE("https://img.etoday.co.kr/pto_db/2026/07/20260721082646_2361751_1000_276.png"))</f>
        <v/>
      </c>
    </row>
    <row r="185">
      <c r="A185" t="n">
        <v>184</v>
      </c>
      <c r="B185" t="inlineStr">
        <is>
          <t>곧 전장 뛰어들 피지컬 AI…“자율전투로 기술난제 극복”</t>
        </is>
      </c>
      <c r="C185" t="inlineStr">
        <is>
          <t>https://n.news.naver.com/mnews/article/011/0004603882?sid=100</t>
        </is>
      </c>
      <c r="D185" t="inlineStr">
        <is>
          <t>Thu, 26 Mar 2026 17:46:00 +0900</t>
        </is>
      </c>
      <c r="E185">
        <f>HYPERLINK("https://imgnews.pstatic.net/image/011/2026/03/26/0004603882_001_20260326233246007.jpg?type=w800", IMAGE("https://imgnews.pstatic.net/image/011/2026/03/26/0004603882_001_20260326233246007.jpg?type=w800"))</f>
        <v/>
      </c>
    </row>
    <row r="186">
      <c r="A186" t="n">
        <v>185</v>
      </c>
      <c r="B186" t="inlineStr">
        <is>
          <t>[본지-대교협 공동기획中] 생성형 AI 기반 수업 혁신 확산 속 &amp;quot;인간 고유...</t>
        </is>
      </c>
      <c r="C186" t="inlineStr">
        <is>
          <t>https://news.unn.net/news/articleView.html?idxno=593399</t>
        </is>
      </c>
      <c r="D186" t="inlineStr">
        <is>
          <t>Mon, 15 Jun 2026 09:00:00 +0900</t>
        </is>
      </c>
      <c r="E186">
        <f>HYPERLINK("https://cdn.news.unn.net/news/thumbnail/202606/593399_417079_4829_v150.jpg", IMAGE("https://cdn.news.unn.net/news/thumbnail/202606/593399_417079_4829_v150.jpg"))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작성일</t>
        </is>
      </c>
      <c r="E1" s="1" t="inlineStr">
        <is>
          <t>이미지보기</t>
        </is>
      </c>
    </row>
    <row r="2">
      <c r="A2" t="n">
        <v>1</v>
      </c>
      <c r="B2" t="inlineStr">
        <is>
          <t>** [현장] ‘2026 통합방공·미사일방어 포럼’ 개최…중동 분쟁 교훈 바탕...</t>
        </is>
      </c>
      <c r="C2" t="inlineStr">
        <is>
          <t>https://www.news2day.co.kr/article/20261015500329</t>
        </is>
      </c>
      <c r="D2" t="inlineStr">
        <is>
          <t>Thu, 15 Oct 2026 20:18:00 +0900</t>
        </is>
      </c>
      <c r="E2">
        <f>HYPERLINK("https://cdn.news2day.co.kr/data2/content/image/2026/10/15/.cache/512/20261015500328.png", IMAGE("https://cdn.news2day.co.kr/data2/content/image/2026/10/15/.cache/512/20261015500328.png"))</f>
        <v/>
      </c>
    </row>
    <row r="3">
      <c r="A3" t="n">
        <v>2</v>
      </c>
      <c r="B3" t="inlineStr">
        <is>
          <t>** [기고] K방산, 무기 몇 대가 아니라 ‘전쟁 지속 능력’을 수출하라</t>
        </is>
      </c>
      <c r="C3" t="inlineStr">
        <is>
          <t>https://n.news.naver.com/mnews/article/023/0003999494?sid=110</t>
        </is>
      </c>
      <c r="D3" t="inlineStr">
        <is>
          <t>Sun, 20 Sep 2026 23:37:00 +0900</t>
        </is>
      </c>
      <c r="E3" t="inlineStr">
        <is>
          <t>이미지 없음</t>
        </is>
      </c>
    </row>
    <row r="4">
      <c r="A4" t="n">
        <v>3</v>
      </c>
      <c r="B4" t="inlineStr">
        <is>
          <t>** 황인홍 무주군수, 전북포럼서 방위산업 육성 전략 발제</t>
        </is>
      </c>
      <c r="C4" t="inlineStr">
        <is>
          <t>https://n.news.naver.com/mnews/article/079/0004171759?sid=102</t>
        </is>
      </c>
      <c r="D4" t="inlineStr">
        <is>
          <t>Fri, 24 Jul 2026 13:39:00 +0900</t>
        </is>
      </c>
      <c r="E4">
        <f>HYPERLINK("https://imgnews.pstatic.net/image/079/2026/07/24/0004171759_001_20260724133913936.jpg?type=w800", IMAGE("https://imgnews.pstatic.net/image/079/2026/07/24/0004171759_001_20260724133913936.jpg?type=w800"))</f>
        <v/>
      </c>
    </row>
    <row r="5">
      <c r="A5" t="n">
        <v>4</v>
      </c>
      <c r="B5" t="inlineStr">
        <is>
          <t>** [뉴스1전북포럼] &amp;quot;전북 방산 육성, 인재·시험평가·실증 기반 갖춰야&amp;quot;(...</t>
        </is>
      </c>
      <c r="C5" t="inlineStr">
        <is>
          <t>https://n.news.naver.com/mnews/article/421/0009077130?sid=102</t>
        </is>
      </c>
      <c r="D5" t="inlineStr">
        <is>
          <t>Fri, 24 Jul 2026 13:00:00 +0900</t>
        </is>
      </c>
      <c r="E5">
        <f>HYPERLINK("https://imgnews.pstatic.net/image/421/2026/07/24/0009077130_001_20260724130015189.jpg?type=w800", IMAGE("https://imgnews.pstatic.net/image/421/2026/07/24/0009077130_001_20260724130015189.jpg?type=w800"))</f>
        <v/>
      </c>
    </row>
    <row r="6">
      <c r="A6" t="n">
        <v>5</v>
      </c>
      <c r="B6" t="inlineStr">
        <is>
          <t>** [뉴스1전북포럼]장원준 교수 &amp;quot;전북 방위산업 성공 조건은 첨단소재 플랫...</t>
        </is>
      </c>
      <c r="C6" t="inlineStr">
        <is>
          <t>https://n.news.naver.com/mnews/article/421/0009077035?sid=102</t>
        </is>
      </c>
      <c r="D6" t="inlineStr">
        <is>
          <t>Fri, 24 Jul 2026 12:08:00 +0900</t>
        </is>
      </c>
      <c r="E6">
        <f>HYPERLINK("https://imgnews.pstatic.net/image/421/2026/07/24/0009077035_001_20260724124415958.jpg?type=w800", IMAGE("https://imgnews.pstatic.net/image/421/2026/07/24/0009077035_001_20260724124415958.jpg?type=w800"))</f>
        <v/>
      </c>
    </row>
    <row r="7">
      <c r="A7" t="n">
        <v>6</v>
      </c>
      <c r="B7" t="inlineStr">
        <is>
          <t>** [뉴스1 전북포럼] &amp;quot;전북 방산클러스터 선정은 시작에 불과, 전략 필요&amp;quot;</t>
        </is>
      </c>
      <c r="C7" t="inlineStr">
        <is>
          <t>https://n.news.naver.com/mnews/article/421/0009076971?sid=102</t>
        </is>
      </c>
      <c r="D7" t="inlineStr">
        <is>
          <t>Fri, 24 Jul 2026 11:51:00 +0900</t>
        </is>
      </c>
      <c r="E7">
        <f>HYPERLINK("https://imgnews.pstatic.net/image/421/2026/07/24/0009076971_001_20260724115224904.jpg?type=w800", IMAGE("https://imgnews.pstatic.net/image/421/2026/07/24/0009076971_001_20260724115224904.jpg?type=w800"))</f>
        <v/>
      </c>
    </row>
    <row r="8">
      <c r="A8" t="n">
        <v>7</v>
      </c>
      <c r="B8" t="inlineStr">
        <is>
          <t>** K방산 수출, 이제는 정보다 [기고]</t>
        </is>
      </c>
      <c r="C8" t="inlineStr">
        <is>
          <t>https://n.news.naver.com/mnews/article/469/0000927039?sid=110</t>
        </is>
      </c>
      <c r="D8" t="inlineStr">
        <is>
          <t>Thu, 23 Apr 2026 04:31:00 +0900</t>
        </is>
      </c>
      <c r="E8">
        <f>HYPERLINK("https://imgnews.pstatic.net/image/469/2026/04/23/0000927039_001_20260423061157905.jpg?type=w800", IMAGE("https://imgnews.pstatic.net/image/469/2026/04/23/0000927039_001_20260423061157905.jpg?type=w800"))</f>
        <v/>
      </c>
    </row>
    <row r="9">
      <c r="A9" t="n">
        <v>8</v>
      </c>
      <c r="B9" t="inlineStr">
        <is>
          <t>** 포티투마루, ‘글로벌 디지털 포럼’에서 K-팔란티어 육성 전략 제시</t>
        </is>
      </c>
      <c r="C9" t="inlineStr">
        <is>
          <t>https://www.etoday.co.kr/news/view/2605499</t>
        </is>
      </c>
      <c r="D9" t="inlineStr">
        <is>
          <t>Tue, 21 Jul 2026 09:18:00 +0900</t>
        </is>
      </c>
      <c r="E9">
        <f>HYPERLINK("https://img.etoday.co.kr/pto_db/2026/07/20260721091456_2361804_1000_276.png", IMAGE("https://img.etoday.co.kr/pto_db/2026/07/20260721091456_2361804_1000_276.png"))</f>
        <v/>
      </c>
    </row>
    <row r="10">
      <c r="A10" t="n">
        <v>9</v>
      </c>
      <c r="B10" t="inlineStr">
        <is>
          <t>** [알립니다] 제2회 국방방산전략포럼 개최합니다</t>
        </is>
      </c>
      <c r="C10" t="inlineStr">
        <is>
          <t>https://n.news.naver.com/mnews/article/011/0004602094?sid=100</t>
        </is>
      </c>
      <c r="D10" t="inlineStr">
        <is>
          <t>Sun, 22 Mar 2026 20:46:00 +0900</t>
        </is>
      </c>
      <c r="E10">
        <f>HYPERLINK("https://imgnews.pstatic.net/image/011/2026/03/22/0004602094_001_20260323095513484.jpg?type=w800", IMAGE("https://imgnews.pstatic.net/image/011/2026/03/22/0004602094_001_20260323095513484.jpg?type=w800"))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2026-10-28T20:08:33Z</dcterms:created>
  <dcterms:modified xsi:type="dcterms:W3CDTF">2026-10-28T20:08:33Z</dcterms:modified>
</cp:coreProperties>
</file>