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[상생의 힘, 기업가치를 올린다] 김동관의 한화, 방산 넘어 안보 기업으...</t>
        </is>
      </c>
      <c r="C55" t="inlineStr">
        <is>
          <t>https://www.g-enews.com/view.php?ud=20260601151511969112616b072_1</t>
        </is>
      </c>
      <c r="D55" t="inlineStr">
        <is>
          <t>Mon, 01 Jun 2026 19:12:00 +0900</t>
        </is>
      </c>
      <c r="E5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6">
      <c r="A56" t="n">
        <v>55</v>
      </c>
      <c r="B56" t="inlineStr">
        <is>
          <t>[상생의 힘, 기업가치를 올린다] 한화, 방산·조선·우주 국가전략산업...</t>
        </is>
      </c>
      <c r="C56" t="inlineStr">
        <is>
          <t>https://www.g-enews.com/view.php?ud=202606011338107634112616b072_1</t>
        </is>
      </c>
      <c r="D56" t="inlineStr">
        <is>
          <t>Mon, 01 Jun 2026 19:08:00 +0900</t>
        </is>
      </c>
      <c r="E5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7">
      <c r="A57" t="n">
        <v>56</v>
      </c>
      <c r="B57" t="inlineStr">
        <is>
          <t>‘K-잠수함’ 1만4000km 잠항, 獨 꺾고 60조 잭팟 터뜨릴까</t>
        </is>
      </c>
      <c r="C57" t="inlineStr">
        <is>
          <t>https://www.viva100.com/article/20260601500751</t>
        </is>
      </c>
      <c r="D57" t="inlineStr">
        <is>
          <t>Mon, 01 Jun 2026 15:32:00 +0900</t>
        </is>
      </c>
      <c r="E57">
        <f>HYPERLINK("https://stqnq5ux4599.edge.naverncp.com/data2//content/image/2026/06/01/.cache/512/20260601500736.jpg?v=20260602045218", IMAGE("https://stqnq5ux4599.edge.naverncp.com/data2//content/image/2026/06/01/.cache/512/20260601500736.jpg?v=20260602045218"))</f>
        <v/>
      </c>
    </row>
    <row r="58">
      <c r="A58" t="n">
        <v>57</v>
      </c>
      <c r="B58" t="inlineStr">
        <is>
          <t>60조 캐나다 잠수함 수주전…K조선 ‘원팀’ 총공세</t>
        </is>
      </c>
      <c r="C58" t="inlineStr">
        <is>
          <t>https://news.mtn.co.kr/news-detail/2026052916113069731</t>
        </is>
      </c>
      <c r="D58" t="inlineStr">
        <is>
          <t>Fri, 29 May 2026 17:40:00 +0900</t>
        </is>
      </c>
      <c r="E5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9">
      <c r="A59" t="n">
        <v>58</v>
      </c>
      <c r="B59" t="inlineStr">
        <is>
          <t>[K-방산 빅뱅/②]한화의 KAI 인수, 독점이 아닌 6가지 근거</t>
        </is>
      </c>
      <c r="C59" t="inlineStr">
        <is>
          <t>https://www.businessplus.kr/news/articleView.html?idxno=112382</t>
        </is>
      </c>
      <c r="D59" t="inlineStr">
        <is>
          <t>Fri, 29 May 2026 15:14:00 +0900</t>
        </is>
      </c>
      <c r="E59">
        <f>HYPERLINK("https://cdn.businessplus.kr/news/thumbnail/202605/112382_108441_231_v150.jpg", IMAGE("https://cdn.businessplus.kr/news/thumbnail/202605/112382_108441_231_v150.jpg"))</f>
        <v/>
      </c>
    </row>
    <row r="60">
      <c r="A60" t="n">
        <v>59</v>
      </c>
      <c r="B60" t="inlineStr">
        <is>
          <t>美 탄약난 현실화 …&amp;quot;지금이 K방산 진출 적기&amp;quot;</t>
        </is>
      </c>
      <c r="C60" t="inlineStr">
        <is>
          <t>https://news.mtn.co.kr/news-detail/2026052816405142132</t>
        </is>
      </c>
      <c r="D60" t="inlineStr">
        <is>
          <t>Thu, 28 May 2026 17:38:00 +0900</t>
        </is>
      </c>
      <c r="E6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1">
      <c r="A61" t="n">
        <v>60</v>
      </c>
      <c r="B61" t="inlineStr">
        <is>
          <t>KDDX 사업 입찰에서 보안감점이 왜 중요한 변수인가</t>
        </is>
      </c>
      <c r="C61" t="inlineStr">
        <is>
          <t>https://n.news.naver.com/mnews/article/031/0001031528?sid=101</t>
        </is>
      </c>
      <c r="D61" t="inlineStr">
        <is>
          <t>Thu, 28 May 2026 15:29:00 +0900</t>
        </is>
      </c>
      <c r="E6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2">
      <c r="A62" t="n">
        <v>61</v>
      </c>
      <c r="B62" t="inlineStr">
        <is>
          <t>한화오션·HD현대重, 한국형 핵잠 수주전 준비⋯원팀 가능성도</t>
        </is>
      </c>
      <c r="C62" t="inlineStr">
        <is>
          <t>https://n.news.naver.com/mnews/article/031/0001031422?sid=101</t>
        </is>
      </c>
      <c r="D62" t="inlineStr">
        <is>
          <t>Thu, 28 May 2026 10:35:00 +0900</t>
        </is>
      </c>
      <c r="E6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3">
      <c r="A63" t="n">
        <v>62</v>
      </c>
      <c r="B63" t="inlineStr">
        <is>
          <t>‘2년 표류’ KDDX 2파전 공식화…HD현대重, 입찰 전격 참여 동시에 가처...</t>
        </is>
      </c>
      <c r="C63" t="inlineStr">
        <is>
          <t>https://n.news.naver.com/mnews/article/117/0004068665?sid=103</t>
        </is>
      </c>
      <c r="D63" t="inlineStr">
        <is>
          <t>Wed, 27 May 2026 17:23:00 +0900</t>
        </is>
      </c>
      <c r="E6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4">
      <c r="A64" t="n">
        <v>63</v>
      </c>
      <c r="B64" t="inlineStr">
        <is>
          <t>‘감점’ vs 설계 공백’…HD현대 ‧ 한화 7조 KDDX 2차 입찰 격돌</t>
        </is>
      </c>
      <c r="C64" t="inlineStr">
        <is>
          <t>https://www.kukinews.com/article/view/kuk202605260176</t>
        </is>
      </c>
      <c r="D64" t="inlineStr">
        <is>
          <t>Wed, 27 May 2026 06:02:00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한화에어로, KAI 지분 확대… '한국판 스페이스X' 꿈꾼다</t>
        </is>
      </c>
      <c r="C65" t="inlineStr">
        <is>
          <t>https://n.news.naver.com/mnews/article/014/0005526660?sid=101</t>
        </is>
      </c>
      <c r="D65" t="inlineStr">
        <is>
          <t>Tue, 26 May 2026 18:21:00 +0900</t>
        </is>
      </c>
      <c r="E6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6">
      <c r="A66" t="n">
        <v>65</v>
      </c>
      <c r="B66" t="inlineStr">
        <is>
          <t>한화, KAI 지분 또 샀다… '한국판 스페이스X' 향한 거침없는 직진</t>
        </is>
      </c>
      <c r="C66" t="inlineStr">
        <is>
          <t>https://n.news.naver.com/mnews/article/014/0005526446?sid=101</t>
        </is>
      </c>
      <c r="D66" t="inlineStr">
        <is>
          <t>Tue, 26 May 2026 14:57:00 +0900</t>
        </is>
      </c>
      <c r="E6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7">
      <c r="A67" t="n">
        <v>66</v>
      </c>
      <c r="B67" t="inlineStr">
        <is>
          <t>日, K방산 텃밭 노린다…'국가 주도 패키지'로 판도 흔들어</t>
        </is>
      </c>
      <c r="C67" t="inlineStr">
        <is>
          <t>http://www.srtimes.kr/news/articleView.html?idxno=203841</t>
        </is>
      </c>
      <c r="D67" t="inlineStr">
        <is>
          <t>Sat, 23 May 2026 10:00:00 +0900</t>
        </is>
      </c>
      <c r="E67">
        <f>HYPERLINK("https://cdn.srtimes.kr/news/thumbnail/202605/203841_208414_2450_v150.jpg", IMAGE("https://cdn.srtimes.kr/news/thumbnail/202605/203841_208414_2450_v150.jpg"))</f>
        <v/>
      </c>
    </row>
    <row r="68">
      <c r="A68" t="n">
        <v>67</v>
      </c>
      <c r="B68" t="inlineStr">
        <is>
          <t>'현대重 단골고객' 필리핀 해군 노리는 日…'방산 한일전' 가능성</t>
        </is>
      </c>
      <c r="C68" t="inlineStr">
        <is>
          <t>https://news.mtn.co.kr/news-detail/2026051917503113175</t>
        </is>
      </c>
      <c r="D68" t="inlineStr">
        <is>
          <t>Tue, 19 May 2026 17:56:00 +0900</t>
        </is>
      </c>
      <c r="E6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9">
      <c r="A69" t="n">
        <v>68</v>
      </c>
      <c r="B69" t="inlineStr">
        <is>
          <t>한화, KAI 경영참여 공식화...찬반 의견은 엇갈려</t>
        </is>
      </c>
      <c r="C69" t="inlineStr">
        <is>
          <t>https://n.news.naver.com/mnews/article/031/0001027882?sid=101</t>
        </is>
      </c>
      <c r="D69" t="inlineStr">
        <is>
          <t>Tue, 12 May 2026 08:20:00 +0900</t>
        </is>
      </c>
      <c r="E6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0">
      <c r="A70" t="n">
        <v>69</v>
      </c>
      <c r="B70" t="inlineStr">
        <is>
          <t>드론 위협 관리하는 미·중…비행규제만 하는 한국</t>
        </is>
      </c>
      <c r="C70" t="inlineStr">
        <is>
          <t>http://www.newstomato.com/ReadNews.aspx?no=1300486&amp;inflow=N</t>
        </is>
      </c>
      <c r="D70" t="inlineStr">
        <is>
          <t>Mon, 11 May 2026 15:46:00 +0900</t>
        </is>
      </c>
      <c r="E70">
        <f>HYPERLINK("https://image.newstomato.com/newsimg/2026/5/11/1300486/attach.jpg?v=202605111556", IMAGE("https://image.newstomato.com/newsimg/2026/5/11/1300486/attach.jpg?v=202605111556"))</f>
        <v/>
      </c>
    </row>
    <row r="71">
      <c r="A71" t="n">
        <v>70</v>
      </c>
      <c r="B71" t="inlineStr">
        <is>
          <t>한화, 체급 키워 방산 ‘글로벌 톱10’ 노린다</t>
        </is>
      </c>
      <c r="C71" t="inlineStr">
        <is>
          <t>https://n.news.naver.com/mnews/article/016/0002641645?sid=101</t>
        </is>
      </c>
      <c r="D71" t="inlineStr">
        <is>
          <t>Mon, 11 May 2026 11:54:00 +0900</t>
        </is>
      </c>
      <c r="E7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2">
      <c r="A72" t="n">
        <v>71</v>
      </c>
      <c r="B72" t="inlineStr">
        <is>
          <t>한화 '경영참여'에 불붙는 'KAI 인수설'…&amp;quot;스페이스X냐 독과점이냐&amp;quot;</t>
        </is>
      </c>
      <c r="C72" t="inlineStr">
        <is>
          <t>https://n.news.naver.com/mnews/article/421/0008935178?sid=101</t>
        </is>
      </c>
      <c r="D72" t="inlineStr">
        <is>
          <t>Sun, 10 May 2026 07:30:00 +0900</t>
        </is>
      </c>
      <c r="E7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3">
      <c r="A73" t="n">
        <v>72</v>
      </c>
      <c r="B73" t="inlineStr">
        <is>
          <t>방산 빅딜설 중심에 선 한화…“독점 논쟁 소모적, 체급 키워 세계 무대...</t>
        </is>
      </c>
      <c r="C73" t="inlineStr">
        <is>
          <t>https://n.news.naver.com/mnews/article/016/0002640984?sid=101</t>
        </is>
      </c>
      <c r="D73" t="inlineStr">
        <is>
          <t>Sat, 09 May 2026 07:30:00 +0900</t>
        </is>
      </c>
      <c r="E7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4">
      <c r="A74" t="n">
        <v>73</v>
      </c>
      <c r="B74" t="inlineStr">
        <is>
          <t>[초점] 한화 &amp;quot;통합 방산기업&amp;quot; 야심에…KAI 내부 강한 반발 왜</t>
        </is>
      </c>
      <c r="C74" t="inlineStr">
        <is>
          <t>http://www.newswatch.kr/news/articleView.html?idxno=79614</t>
        </is>
      </c>
      <c r="D74" t="inlineStr">
        <is>
          <t>Thu, 07 May 2026 16:58:00 +0900</t>
        </is>
      </c>
      <c r="E74">
        <f>HYPERLINK("https://cdn.newswatch.kr/news/thumbnail/202605/79614_85479_4430_v150.jpg", IMAGE("https://cdn.newswatch.kr/news/thumbnail/202605/79614_85479_4430_v150.jpg"))</f>
        <v/>
      </c>
    </row>
    <row r="75">
      <c r="A75" t="n">
        <v>74</v>
      </c>
      <c r="B75" t="inlineStr">
        <is>
          <t>일본 ‘살상무기 수출’ 60년 빗장 해제… K-해양방산 ‘진검승부’ 예...</t>
        </is>
      </c>
      <c r="C75" t="inlineStr">
        <is>
          <t>https://www.kukinews.com/article/view/kuk202605060160</t>
        </is>
      </c>
      <c r="D75" t="inlineStr">
        <is>
          <t>Thu, 07 May 2026 06:02:00 +0900</t>
        </is>
      </c>
      <c r="E75" t="inlineStr">
        <is>
          <t>이미지 없음</t>
        </is>
      </c>
    </row>
    <row r="76">
      <c r="A76" t="n">
        <v>75</v>
      </c>
      <c r="B76" t="inlineStr">
        <is>
          <t>'한국판 BAE' 현실화하나…한화가 쏘아올린 통합 방산회사 출범 신호탄</t>
        </is>
      </c>
      <c r="C76" t="inlineStr">
        <is>
          <t>https://news.mtn.co.kr/news-detail/2026050614582776801</t>
        </is>
      </c>
      <c r="D76" t="inlineStr">
        <is>
          <t>Wed, 06 May 2026 15:02:00 +0900</t>
        </is>
      </c>
      <c r="E7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7">
      <c r="A77" t="n">
        <v>76</v>
      </c>
      <c r="B77" t="inlineStr">
        <is>
          <t>미 조선 협력 본격화…기자재 '원산지 입증'이 새 변수</t>
        </is>
      </c>
      <c r="C77" t="inlineStr">
        <is>
          <t>https://www.m-i.kr/news/articleView.html?idxno=1369861</t>
        </is>
      </c>
      <c r="D77" t="inlineStr">
        <is>
          <t>Tue, 05 May 2026 11:30:00 +0900</t>
        </is>
      </c>
      <c r="E77">
        <f>HYPERLINK("https://cdn.m-i.kr/news/thumbnail/202605/1369861_1156625_5843_v150.jpg", IMAGE("https://cdn.m-i.kr/news/thumbnail/202605/1369861_1156625_5843_v150.jpg"))</f>
        <v/>
      </c>
    </row>
    <row r="78">
      <c r="A78" t="n">
        <v>77</v>
      </c>
      <c r="B78" t="inlineStr">
        <is>
          <t>얼음 해쳐 '북극 항로' 뚫는 쇄빙선…'K-방산'에도 기회 요인?</t>
        </is>
      </c>
      <c r="C78" t="inlineStr">
        <is>
          <t>https://n.news.naver.com/mnews/article/421/0008923272?sid=100</t>
        </is>
      </c>
      <c r="D78" t="inlineStr">
        <is>
          <t>Sat, 02 May 2026 06:00:00 +0900</t>
        </is>
      </c>
      <c r="E7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9">
      <c r="A79" t="n">
        <v>78</v>
      </c>
      <c r="B79" t="inlineStr">
        <is>
          <t>[K방산, 미래 조준]③현대무기 대형화 불가피…韓방산 '설계'에 달렸다</t>
        </is>
      </c>
      <c r="C79" t="inlineStr">
        <is>
          <t>https://n.news.naver.com/mnews/article/277/0005757193?sid=101</t>
        </is>
      </c>
      <c r="D79" t="inlineStr">
        <is>
          <t>Thu, 30 Apr 2026 11:24:00 +0900</t>
        </is>
      </c>
      <c r="E7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0">
      <c r="A80" t="n">
        <v>79</v>
      </c>
      <c r="B80" t="inlineStr">
        <is>
          <t>“한·일 함정 분야 경쟁 가능성”</t>
        </is>
      </c>
      <c r="C80" t="inlineStr">
        <is>
          <t>https://n.news.naver.com/mnews/article/016/0002636450?sid=101</t>
        </is>
      </c>
      <c r="D80" t="inlineStr">
        <is>
          <t>Tue, 28 Apr 2026 11:28:00 +0900</t>
        </is>
      </c>
      <c r="E80">
        <f>HYPERLINK("https://ssl.pstatic.net/static.news/image/news/ogtag/navernews_800x420_20221201.jpg", IMAGE("https://ssl.pstatic.net/static.news/image/news/ogtag/navernews_800x420_20221201.jpg"))</f>
        <v/>
      </c>
    </row>
    <row r="81">
      <c r="A81" t="n">
        <v>80</v>
      </c>
      <c r="B81" t="inlineStr">
        <is>
          <t>'AI·MUM-T' 핵심 기술 놓고 머리 맞댔다···전북대-한화시스템 협력 시...</t>
        </is>
      </c>
      <c r="C81" t="inlineStr">
        <is>
          <t>http://www.enewstoday.co.kr/news/articleView.html?idxno=2423794</t>
        </is>
      </c>
      <c r="D81" t="inlineStr">
        <is>
          <t>Mon, 27 Apr 2026 17:33:00 +0900</t>
        </is>
      </c>
      <c r="E81">
        <f>HYPERLINK("https://cdn.enewstoday.co.kr/news/thumbnail/202604/2423794_1257408_3245_v150.jpg", IMAGE("https://cdn.enewstoday.co.kr/news/thumbnail/202604/2423794_1257408_3245_v150.jpg"))</f>
        <v/>
      </c>
    </row>
    <row r="82">
      <c r="A82" t="n">
        <v>81</v>
      </c>
      <c r="B82" t="inlineStr">
        <is>
          <t>전북대·한화시스템, 첨단 방산기술 협력 본격화</t>
        </is>
      </c>
      <c r="C82" t="inlineStr">
        <is>
          <t>https://n.news.naver.com/mnews/article/003/0013912488?sid=102</t>
        </is>
      </c>
      <c r="D82" t="inlineStr">
        <is>
          <t>Mon, 27 Apr 2026 16:11:00 +0900</t>
        </is>
      </c>
      <c r="E8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3">
      <c r="A83" t="n">
        <v>82</v>
      </c>
      <c r="B83" t="inlineStr">
        <is>
          <t>전북대-한화시스템, 첨단 방산기술 협력 본격화</t>
        </is>
      </c>
      <c r="C83" t="inlineStr">
        <is>
          <t>https://www.kyosu.net/news/articleView.html?idxno=204918</t>
        </is>
      </c>
      <c r="D83" t="inlineStr">
        <is>
          <t>Mon, 27 Apr 2026 15:58:00 +0900</t>
        </is>
      </c>
      <c r="E83">
        <f>HYPERLINK("https://cdn.kyosu.net/news/photo/202604/204918_205281_5653.jpg", IMAGE("https://cdn.kyosu.net/news/photo/202604/204918_205281_5653.jpg"))</f>
        <v/>
      </c>
    </row>
    <row r="84">
      <c r="A84" t="n">
        <v>83</v>
      </c>
      <c r="B84" t="inlineStr">
        <is>
          <t>전북대-한화시스템, 첨단 방산기술 협력 본격화…교수진-임원진 기술교...</t>
        </is>
      </c>
      <c r="C84" t="inlineStr">
        <is>
          <t>https://n.news.naver.com/mnews/article/030/0003422061?sid=102</t>
        </is>
      </c>
      <c r="D84" t="inlineStr">
        <is>
          <t>Mon, 27 Apr 2026 15:24:00 +0900</t>
        </is>
      </c>
      <c r="E84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5">
      <c r="A85" t="n">
        <v>84</v>
      </c>
      <c r="B85" t="inlineStr">
        <is>
          <t>전북대-한화시스템 첨단 방산기술 협력 본격화</t>
        </is>
      </c>
      <c r="C85" t="inlineStr">
        <is>
          <t>https://www.veritas-a.com/news/articleView.html?idxno=607576</t>
        </is>
      </c>
      <c r="D85" t="inlineStr">
        <is>
          <t>Mon, 27 Apr 2026 15:18:00 +0900</t>
        </is>
      </c>
      <c r="E85">
        <f>HYPERLINK("https://cdn.veritas-a.com/news/thumbnail/202604/607576_520922_1639_v150.jpg", IMAGE("https://cdn.veritas-a.com/news/thumbnail/202604/607576_520922_1639_v150.jpg"))</f>
        <v/>
      </c>
    </row>
    <row r="86">
      <c r="A86" t="n">
        <v>85</v>
      </c>
      <c r="B86" t="inlineStr">
        <is>
          <t>15조 美 해군 훈련기 사업, 결국 '미국산 규정'에 막혔다</t>
        </is>
      </c>
      <c r="C86" t="inlineStr">
        <is>
          <t>http://www.enewstoday.co.kr/news/articleView.html?idxno=2423678</t>
        </is>
      </c>
      <c r="D86" t="inlineStr">
        <is>
          <t>Mon, 27 Apr 2026 15:02:00 +0900</t>
        </is>
      </c>
      <c r="E86">
        <f>HYPERLINK("https://cdn.enewstoday.co.kr/news/thumbnail/202604/2423678_1257282_447_v150.jpg", IMAGE("https://cdn.enewstoday.co.kr/news/thumbnail/202604/2423678_1257282_447_v150.jpg"))</f>
        <v/>
      </c>
    </row>
    <row r="87">
      <c r="A87" t="n">
        <v>86</v>
      </c>
      <c r="B87" t="inlineStr">
        <is>
          <t>日 살상무기 수출 해제에 K방산 위협?…“함정 분야는 경쟁 가능성” [...</t>
        </is>
      </c>
      <c r="C87" t="inlineStr">
        <is>
          <t>https://n.news.naver.com/mnews/article/016/0002635127?sid=101</t>
        </is>
      </c>
      <c r="D87" t="inlineStr">
        <is>
          <t>Sat, 25 Apr 2026 07:01:00 +0900</t>
        </is>
      </c>
      <c r="E8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8">
      <c r="A88" t="n">
        <v>87</v>
      </c>
      <c r="B88" t="inlineStr">
        <is>
          <t>&amp;quot;쪼개 팔면 경쟁력 상실&amp;quot; KAI 분할매각론, 현실성·실익 의문</t>
        </is>
      </c>
      <c r="C88" t="inlineStr">
        <is>
          <t>https://www.m-i.kr/news/articleView.html?idxno=1367119</t>
        </is>
      </c>
      <c r="D88" t="inlineStr">
        <is>
          <t>Thu, 23 Apr 2026 14:26:00 +0900</t>
        </is>
      </c>
      <c r="E88">
        <f>HYPERLINK("https://cdn.m-i.kr/news/thumbnail/202604/1367119_1153735_1415_v150.jpg", IMAGE("https://cdn.m-i.kr/news/thumbnail/202604/1367119_1153735_1415_v150.jpg"))</f>
        <v/>
      </c>
    </row>
    <row r="89">
      <c r="A89" t="n">
        <v>88</v>
      </c>
      <c r="B89" t="inlineStr">
        <is>
          <t>트럼프 'NATO' 탈퇴 위협···유럽 자력화 가속에 'K방산' 역할 커지나</t>
        </is>
      </c>
      <c r="C89" t="inlineStr">
        <is>
          <t>http://www.enewstoday.co.kr/news/articleView.html?idxno=2420829</t>
        </is>
      </c>
      <c r="D89" t="inlineStr">
        <is>
          <t>Tue, 21 Apr 2026 08:00:00 +0900</t>
        </is>
      </c>
      <c r="E89">
        <f>HYPERLINK("https://cdn.enewstoday.co.kr/news/thumbnail/202604/2420829_1254079_189_v150.jpg", IMAGE("https://cdn.enewstoday.co.kr/news/thumbnail/202604/2420829_1254079_189_v150.jpg"))</f>
        <v/>
      </c>
    </row>
    <row r="90">
      <c r="A90" t="n">
        <v>89</v>
      </c>
      <c r="B90" t="inlineStr">
        <is>
          <t>한화·삼성, 美 해군 ‘혈관’ 설계한다…NGLS 수주로 마스가 본게임 ‘...</t>
        </is>
      </c>
      <c r="C90" t="inlineStr">
        <is>
          <t>https://www.kukinews.com/article/view/kuk202604200181</t>
        </is>
      </c>
      <c r="D90" t="inlineStr">
        <is>
          <t>Tue, 21 Apr 2026 06:02:00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K조선, 미 해군 MRO 잇따라 수주…마스가 협력 ‘가속’</t>
        </is>
      </c>
      <c r="C91" t="inlineStr">
        <is>
          <t>http://www.newstomato.com/ReadNews.aspx?no=1298412&amp;inflow=N</t>
        </is>
      </c>
      <c r="D91" t="inlineStr">
        <is>
          <t>Mon, 20 Apr 2026 15:02:00 +0900</t>
        </is>
      </c>
      <c r="E91">
        <f>HYPERLINK("https://image.newstomato.com/newsimg/2026/4/20/1298412/attach.jpg?v=202604211549", IMAGE("https://image.newstomato.com/newsimg/2026/4/20/1298412/attach.jpg?v=202604211549"))</f>
        <v/>
      </c>
    </row>
    <row r="92">
      <c r="A92" t="n">
        <v>91</v>
      </c>
      <c r="B92" t="inlineStr">
        <is>
          <t>갈 길 먼 K드론...부품·소재 자체 공급망? K표준화부터</t>
        </is>
      </c>
      <c r="C92" t="inlineStr">
        <is>
          <t>https://n.news.naver.com/mnews/article/024/0000104881?sid=101</t>
        </is>
      </c>
      <c r="D92" t="inlineStr">
        <is>
          <t>Fri, 17 Apr 2026 21:01:00 +0900</t>
        </is>
      </c>
      <c r="E9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3">
      <c r="A93" t="n">
        <v>92</v>
      </c>
      <c r="B93" t="inlineStr">
        <is>
          <t>‘K드론’ 소프트웨어는 자립 가능, 그러나…</t>
        </is>
      </c>
      <c r="C93" t="inlineStr">
        <is>
          <t>https://n.news.naver.com/mnews/article/024/0000104851?sid=101</t>
        </is>
      </c>
      <c r="D93" t="inlineStr">
        <is>
          <t>Thu, 16 Apr 2026 21:01:00 +0900</t>
        </is>
      </c>
      <c r="E9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4">
      <c r="A94" t="n">
        <v>93</v>
      </c>
      <c r="B94" t="inlineStr">
        <is>
          <t>“한국형 팔란티어 나오려면” 지재권·전력화 보장이 관건 [K-방산, 그...</t>
        </is>
      </c>
      <c r="C94" t="inlineStr">
        <is>
          <t>https://www.etoday.co.kr/news/view/2575581</t>
        </is>
      </c>
      <c r="D94" t="inlineStr">
        <is>
          <t>Thu, 16 Apr 2026 05:02:00 +0900</t>
        </is>
      </c>
      <c r="E94">
        <f>HYPERLINK("https://img.etoday.co.kr/pto_db/2026/04/20260415162002_2322127_913_401.jpg", IMAGE("https://img.etoday.co.kr/pto_db/2026/04/20260415162002_2322127_913_401.jpg"))</f>
        <v/>
      </c>
    </row>
    <row r="95">
      <c r="A95" t="n">
        <v>94</v>
      </c>
      <c r="B95" t="inlineStr">
        <is>
          <t>K-방산 강국 도약, &amp;quot;국방 첨단 복합소재 공급망 내재화해야&amp;quot;</t>
        </is>
      </c>
      <c r="C95" t="inlineStr">
        <is>
          <t>http://www.jeollailbo.com/news/articleView.html?idxno=797541</t>
        </is>
      </c>
      <c r="D95" t="inlineStr">
        <is>
          <t>Tue, 14 Apr 2026 17:30:00 +0900</t>
        </is>
      </c>
      <c r="E95">
        <f>HYPERLINK("https://cdn.jeollailbo.com/news/thumbnail/202604/797541_185388_1449_v150.jpg", IMAGE("https://cdn.jeollailbo.com/news/thumbnail/202604/797541_185388_1449_v150.jpg"))</f>
        <v/>
      </c>
    </row>
    <row r="96">
      <c r="A96" t="n">
        <v>95</v>
      </c>
      <c r="B96" t="inlineStr">
        <is>
          <t>K-방산 강국으로의 도약, &amp;quot;첨단 복합소재 공급망 자립 최우선 과제&amp;quot;</t>
        </is>
      </c>
      <c r="C96" t="inlineStr">
        <is>
          <t>http://www.jjn.co.kr/news/articleView.html?idxno=1038170</t>
        </is>
      </c>
      <c r="D96" t="inlineStr">
        <is>
          <t>Tue, 14 Apr 2026 17:30:00 +0900</t>
        </is>
      </c>
      <c r="E96">
        <f>HYPERLINK("https://cdn.jjn.co.kr/news/thumbnail/202604/1038170_263476_2948_v150.jpg", IMAGE("https://cdn.jjn.co.kr/news/thumbnail/202604/1038170_263476_2948_v150.jpg"))</f>
        <v/>
      </c>
    </row>
    <row r="97">
      <c r="A97" t="n">
        <v>96</v>
      </c>
      <c r="B97" t="inlineStr">
        <is>
          <t>“K-방산 강국 도약 위해 첨단 복합소재 공급망 자립 최우선 과제”</t>
        </is>
      </c>
      <c r="C97" t="inlineStr">
        <is>
          <t>https://n.news.naver.com/mnews/article/030/0003417816?sid=102</t>
        </is>
      </c>
      <c r="D97" t="inlineStr">
        <is>
          <t>Tue, 14 Apr 2026 17:07:00 +0900</t>
        </is>
      </c>
      <c r="E97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8">
      <c r="A98" t="n">
        <v>97</v>
      </c>
      <c r="B98" t="inlineStr">
        <is>
          <t>한화의 방산 퍼즐 맞추기…KAI 지분 확보·풍산 인수 무산 속 전략은</t>
        </is>
      </c>
      <c r="C98" t="inlineStr">
        <is>
          <t>https://www.smarttoday.co.kr/ko-kr/articles/106484</t>
        </is>
      </c>
      <c r="D98" t="inlineStr">
        <is>
          <t>Tue, 14 Apr 2026 16:11:00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“K-방산 경쟁력 좌우 첨단복합소재 내재화 가속 시급”</t>
        </is>
      </c>
      <c r="C99" t="inlineStr">
        <is>
          <t>http://amenews.kr/news/view.php?idx=66331</t>
        </is>
      </c>
      <c r="D99" t="inlineStr">
        <is>
          <t>Tue, 14 Apr 2026 15:54:00 +0900</t>
        </is>
      </c>
      <c r="E99">
        <f>HYPERLINK("http://amenews.kr/data/cheditor4/2604/3554368046_Jb5WKZYk_001.jpg", IMAGE("http://amenews.kr/data/cheditor4/2604/3554368046_Jb5WKZYk_001.jpg"))</f>
        <v/>
      </c>
    </row>
    <row r="100">
      <c r="A100" t="n">
        <v>99</v>
      </c>
      <c r="B100" t="inlineStr">
        <is>
          <t>첨단 복합소재 공급망 자립 K-방산 강국 도약 최우선 과제</t>
        </is>
      </c>
      <c r="C100" t="inlineStr">
        <is>
          <t>https://n.news.naver.com/mnews/article/119/0003080479?sid=101</t>
        </is>
      </c>
      <c r="D100" t="inlineStr">
        <is>
          <t>Tue, 14 Apr 2026 14:33:00 +0900</t>
        </is>
      </c>
      <c r="E100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1">
      <c r="A101" t="n">
        <v>100</v>
      </c>
      <c r="B101" t="inlineStr">
        <is>
          <t>걸프국, 천궁Ⅱ 맹활약에 방공전력 '脫美' 가속</t>
        </is>
      </c>
      <c r="C101" t="inlineStr">
        <is>
          <t>http://www.hansbiz.co.kr/news/articleView.html?idxno=832512</t>
        </is>
      </c>
      <c r="D101" t="inlineStr">
        <is>
          <t>Mon, 13 Apr 2026 17:22:00 +0900</t>
        </is>
      </c>
      <c r="E101">
        <f>HYPERLINK("https://cdn.hansbiz.co.kr/news/thumbnail/202604/832512_841252_248_v150.jpg", IMAGE("https://cdn.hansbiz.co.kr/news/thumbnail/202604/832512_841252_248_v150.jpg"))</f>
        <v/>
      </c>
    </row>
    <row r="102">
      <c r="A102" t="n">
        <v>101</v>
      </c>
      <c r="B102" t="inlineStr">
        <is>
          <t>대한항공, '무인기 시대' 게임체인저 노린다</t>
        </is>
      </c>
      <c r="C102" t="inlineStr">
        <is>
          <t>https://www.ntoday.co.kr/news/articleView.html?idxno=126464</t>
        </is>
      </c>
      <c r="D102" t="inlineStr">
        <is>
          <t>Fri, 10 Apr 2026 17:00:00 +0900</t>
        </is>
      </c>
      <c r="E102">
        <f>HYPERLINK("https://cdn.ntoday.co.kr/news/thumbnail/202604/126464_110528_1132_v150.jpg", IMAGE("https://cdn.ntoday.co.kr/news/thumbnail/202604/126464_110528_1132_v150.jpg"))</f>
        <v/>
      </c>
    </row>
    <row r="103">
      <c r="A103" t="n">
        <v>102</v>
      </c>
      <c r="B103" t="inlineStr">
        <is>
          <t>한화, 풍산 탄약사업부 인수...득과 실은?</t>
        </is>
      </c>
      <c r="C103" t="inlineStr">
        <is>
          <t>http://www.hansbiz.co.kr/news/articleView.html?idxno=831575</t>
        </is>
      </c>
      <c r="D103" t="inlineStr">
        <is>
          <t>Thu, 09 Apr 2026 07:00:00 +0900</t>
        </is>
      </c>
      <c r="E103">
        <f>HYPERLINK("https://cdn.hansbiz.co.kr/news/thumbnail/202604/831575_839875_1833_v150.jpg", IMAGE("https://cdn.hansbiz.co.kr/news/thumbnail/202604/831575_839875_1833_v150.jpg"))</f>
        <v/>
      </c>
    </row>
    <row r="104">
      <c r="A104" t="n">
        <v>103</v>
      </c>
      <c r="B104" t="inlineStr">
        <is>
          <t>한화에어로, 풍산 탄약사업부 인수 추진⋯포·탄 패키지 전략</t>
        </is>
      </c>
      <c r="C104" t="inlineStr">
        <is>
          <t>https://n.news.naver.com/mnews/article/031/0001020040?sid=101</t>
        </is>
      </c>
      <c r="D104" t="inlineStr">
        <is>
          <t>Mon, 06 Apr 2026 18:25:00 +0900</t>
        </is>
      </c>
      <c r="E10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5">
      <c r="A105" t="n">
        <v>104</v>
      </c>
      <c r="B105" t="inlineStr">
        <is>
          <t>한화에어로 풍산 탄약사업 매각 '단독 입찰', 성사는 정부와 풍산 소액...</t>
        </is>
      </c>
      <c r="C105" t="inlineStr">
        <is>
          <t>https://www.businesspost.co.kr/BP?command=article_view&amp;num=435054</t>
        </is>
      </c>
      <c r="D105" t="inlineStr">
        <is>
          <t>Mon, 06 Apr 2026 16:30:00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한화, ‘포·탄’ 시너지에 풍산 탄약 품나…방산 생태계 독주 본격화</t>
        </is>
      </c>
      <c r="C106" t="inlineStr">
        <is>
          <t>https://www.etoday.co.kr/news/view/2573034</t>
        </is>
      </c>
      <c r="D106" t="inlineStr">
        <is>
          <t>Mon, 06 Apr 2026 16:18:00 +0900</t>
        </is>
      </c>
      <c r="E106">
        <f>HYPERLINK("https://img.etoday.co.kr/pto_db/2026/04/20260406161152_2318138_1199_621.jpg", IMAGE("https://img.etoday.co.kr/pto_db/2026/04/20260406161152_2318138_1199_621.jpg"))</f>
        <v/>
      </c>
    </row>
    <row r="107">
      <c r="A107" t="n">
        <v>106</v>
      </c>
      <c r="B107" t="inlineStr">
        <is>
          <t>'천궁-Ⅱ', 중동서 실전 검증...美 독점 구조 바뀌나</t>
        </is>
      </c>
      <c r="C107" t="inlineStr">
        <is>
          <t>http://www.hansbiz.co.kr/news/articleView.html?idxno=830334</t>
        </is>
      </c>
      <c r="D107" t="inlineStr">
        <is>
          <t>Mon, 06 Apr 2026 06:30:00 +0900</t>
        </is>
      </c>
      <c r="E107">
        <f>HYPERLINK("https://cdn.hansbiz.co.kr/news/thumbnail/202604/830334_837980_2628_v150.jpg", IMAGE("https://cdn.hansbiz.co.kr/news/thumbnail/202604/830334_837980_2628_v150.jpg"))</f>
        <v/>
      </c>
    </row>
    <row r="108">
      <c r="A108" t="n">
        <v>107</v>
      </c>
      <c r="B108" t="inlineStr">
        <is>
          <t>KF-21 날았지만 KAI는 ‘구조 시험대’…민영화 불씨 재점화</t>
        </is>
      </c>
      <c r="C108" t="inlineStr">
        <is>
          <t>https://www.kukinews.com/article/view/kuk202604020177</t>
        </is>
      </c>
      <c r="D108" t="inlineStr">
        <is>
          <t>Fri, 03 Apr 2026 06:02:00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佛 방산기업 탈레스, 카이스트·전북대 장학금 지원</t>
        </is>
      </c>
      <c r="C109" t="inlineStr">
        <is>
          <t>https://n.news.naver.com/mnews/article/016/0002623635?sid=101</t>
        </is>
      </c>
      <c r="D109" t="inlineStr">
        <is>
          <t>Thu, 02 Apr 2026 11:16:00 +0900</t>
        </is>
      </c>
      <c r="E10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0">
      <c r="A110" t="n">
        <v>109</v>
      </c>
      <c r="B110" t="inlineStr">
        <is>
          <t>커지는 방산시장, 높아지는 장벽…&amp;quot;현지화 없인 수출 없다&amp;quot;</t>
        </is>
      </c>
      <c r="C110" t="inlineStr">
        <is>
          <t>https://www.ajunews.com/view/20260401154708093</t>
        </is>
      </c>
      <c r="D110" t="inlineStr">
        <is>
          <t>Thu, 02 Apr 2026 05:02:00 +0900</t>
        </is>
      </c>
      <c r="E110">
        <f>HYPERLINK("https://image.ajunews.com/content/image/2026/04/01/20260401162724635722.jpg", IMAGE("https://image.ajunews.com/content/image/2026/04/01/20260401162724635722.jpg"))</f>
        <v/>
      </c>
    </row>
    <row r="111">
      <c r="A111" t="n">
        <v>110</v>
      </c>
      <c r="B111" t="inlineStr">
        <is>
          <t>[단독] 佛 방산기업 탈레스, 카이스트·전북대 장학금 지원…K-인재 유치...</t>
        </is>
      </c>
      <c r="C111" t="inlineStr">
        <is>
          <t>https://n.news.naver.com/mnews/article/016/0002623210?sid=101</t>
        </is>
      </c>
      <c r="D111" t="inlineStr">
        <is>
          <t>Wed, 01 Apr 2026 17:01:00 +0900</t>
        </is>
      </c>
      <c r="E111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2">
      <c r="A112" t="n">
        <v>111</v>
      </c>
      <c r="B112" t="inlineStr">
        <is>
          <t>방산 스타트업 키우는 정부…현장은 생태계·제도 개선 주문[K-방산, 안...</t>
        </is>
      </c>
      <c r="C112" t="inlineStr">
        <is>
          <t>https://www.etoday.co.kr/news/view/2571395</t>
        </is>
      </c>
      <c r="D112" t="inlineStr">
        <is>
          <t>Wed, 01 Apr 2026 15:20:00 +0900</t>
        </is>
      </c>
      <c r="E112">
        <f>HYPERLINK("https://img.etoday.co.kr/pto_db/2026/04/20260401171434_2316308_1200_400.jpg", IMAGE("https://img.etoday.co.kr/pto_db/2026/04/20260401171434_2316308_1200_400.jpg"))</f>
        <v/>
      </c>
    </row>
    <row r="113">
      <c r="A113" t="n">
        <v>112</v>
      </c>
      <c r="B113" t="inlineStr">
        <is>
          <t>KF-21 잡음에도 한·인니 방산 협력 강화…&amp;quot;K-방산 거점 국가&amp;quot;</t>
        </is>
      </c>
      <c r="C113" t="inlineStr">
        <is>
          <t>https://n.news.naver.com/mnews/article/008/0005338374?sid=100</t>
        </is>
      </c>
      <c r="D113" t="inlineStr">
        <is>
          <t>Wed, 01 Apr 2026 15:00:00 +0900</t>
        </is>
      </c>
      <c r="E11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4">
      <c r="A114" t="n">
        <v>113</v>
      </c>
      <c r="B114" t="inlineStr">
        <is>
          <t>인도네시아 대통령 방한…KF-21 협력 재정비 본격화</t>
        </is>
      </c>
      <c r="C114" t="inlineStr">
        <is>
          <t>https://www.m-i.kr/news/articleView.html?idxno=1360208</t>
        </is>
      </c>
      <c r="D114" t="inlineStr">
        <is>
          <t>Tue, 31 Mar 2026 15:04:00 +0900</t>
        </is>
      </c>
      <c r="E114">
        <f>HYPERLINK("https://cdn.m-i.kr/news/thumbnail/202603/1360208_1146405_5919_v150.jpg", IMAGE("https://cdn.m-i.kr/news/thumbnail/202603/1360208_1146405_5919_v150.jpg"))</f>
        <v/>
      </c>
    </row>
    <row r="115">
      <c r="A115" t="n">
        <v>114</v>
      </c>
      <c r="B115" t="inlineStr">
        <is>
          <t>[기획]K-방산 내홍에 사라지는 골든타임…&amp;quot;출혈 경쟁 멈춰야&amp;quot;</t>
        </is>
      </c>
      <c r="C115" t="inlineStr">
        <is>
          <t>https://www.m-i.kr/news/articleView.html?idxno=1359223</t>
        </is>
      </c>
      <c r="D115" t="inlineStr">
        <is>
          <t>Sun, 29 Mar 2026 11:26:00 +0900</t>
        </is>
      </c>
      <c r="E115">
        <f>HYPERLINK("https://cdn.m-i.kr/news/thumbnail/202603/1359223_1145375_5310_v150.jpg", IMAGE("https://cdn.m-i.kr/news/thumbnail/202603/1359223_1145375_5310_v150.jpg"))</f>
        <v/>
      </c>
    </row>
    <row r="116">
      <c r="A116" t="n">
        <v>115</v>
      </c>
      <c r="B116" t="inlineStr">
        <is>
          <t>&amp;quot;경쟁사에 영업비밀 왜 넘기냐&amp;quot;…7.8조 KDDX 사업, 또 공정성 논란</t>
        </is>
      </c>
      <c r="C116" t="inlineStr">
        <is>
          <t>https://n.news.naver.com/mnews/article/025/0003512325?sid=101</t>
        </is>
      </c>
      <c r="D116" t="inlineStr">
        <is>
          <t>Sun, 29 Mar 2026 06:00:00 +0900</t>
        </is>
      </c>
      <c r="E11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7">
      <c r="A117" t="n">
        <v>116</v>
      </c>
      <c r="B117" t="inlineStr">
        <is>
          <t>기본설계(기밀포함?) 공개당한 HD현대…방사청은 &amp;quot;이래야 공정&amp;quot;</t>
        </is>
      </c>
      <c r="C117" t="inlineStr">
        <is>
          <t>https://news.mtn.co.kr/news-detail/2026032716375252491</t>
        </is>
      </c>
      <c r="D117" t="inlineStr">
        <is>
          <t>Fri, 27 Mar 2026 17:48:00 +0900</t>
        </is>
      </c>
      <c r="E11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8">
      <c r="A118" t="n">
        <v>117</v>
      </c>
      <c r="B118" t="inlineStr">
        <is>
          <t>AI·드론 시대 맞아 ‘첨단전력 획득절차’ 달라진다</t>
        </is>
      </c>
      <c r="C118" t="inlineStr">
        <is>
          <t>https://www.news2day.co.kr/article/20260326500334</t>
        </is>
      </c>
      <c r="D118" t="inlineStr">
        <is>
          <t>Thu, 26 Mar 2026 21:26:00 +0900</t>
        </is>
      </c>
      <c r="E118">
        <f>HYPERLINK("https://cdn.news2day.co.kr/data2/content/image/2026/03/26/.cache/512/20260326500333.png", IMAGE("https://cdn.news2day.co.kr/data2/content/image/2026/03/26/.cache/512/20260326500333.png"))</f>
        <v/>
      </c>
    </row>
    <row r="119">
      <c r="A119" t="n">
        <v>118</v>
      </c>
      <c r="B119" t="inlineStr">
        <is>
          <t>임무 중심·민간 참여·성능 향상 가속화 등 논의</t>
        </is>
      </c>
      <c r="C119" t="inlineStr">
        <is>
          <t>https://kookbang.dema.mil.kr/newsWeb/20260327/5/ATCE_CTGR_0010010000/view.do</t>
        </is>
      </c>
      <c r="D119" t="inlineStr">
        <is>
          <t>Thu, 26 Mar 2026 17:24:00 +0900</t>
        </is>
      </c>
      <c r="E119">
        <f>HYPERLINK("//kookbang.dema.mil.kr/newspaper/tmplat/upload/20260327/thumb1/2026032701000262800025071.jpg", IMAGE("//kookbang.dema.mil.kr/newspaper/tmplat/upload/20260327/thumb1/2026032701000262800025071.jpg"))</f>
        <v/>
      </c>
    </row>
    <row r="120">
      <c r="A120" t="n">
        <v>119</v>
      </c>
      <c r="B120" t="inlineStr">
        <is>
          <t>부승찬·강선영 의원 공동주최 'K-방산 지속성장 전략' 세미나 성료</t>
        </is>
      </c>
      <c r="C120" t="inlineStr">
        <is>
          <t>https://n.news.naver.com/mnews/article/002/0002433611?sid=102</t>
        </is>
      </c>
      <c r="D120" t="inlineStr">
        <is>
          <t>Wed, 25 Mar 2026 17:07:00 +0900</t>
        </is>
      </c>
      <c r="E120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1">
      <c r="A121" t="n">
        <v>120</v>
      </c>
      <c r="B121" t="inlineStr">
        <is>
          <t>&amp;quot;K-방산, 규제혁신 없인 지속성장 어렵다&amp;quot;…국회 세미나서 제도 개선 한...</t>
        </is>
      </c>
      <c r="C121" t="inlineStr">
        <is>
          <t>https://www.straightnews.co.kr/news/articleView.html?idxno=298422</t>
        </is>
      </c>
      <c r="D121" t="inlineStr">
        <is>
          <t>Wed, 25 Mar 2026 09:26:00 +0900</t>
        </is>
      </c>
      <c r="E121">
        <f>HYPERLINK("https://cdn.straightnews.co.kr/news/thumbnail/202603/298422_207325_235_v150.jpg", IMAGE("https://cdn.straightnews.co.kr/news/thumbnail/202603/298422_207325_235_v150.jpg"))</f>
        <v/>
      </c>
    </row>
    <row r="122">
      <c r="A122" t="n">
        <v>121</v>
      </c>
      <c r="B122" t="inlineStr">
        <is>
          <t>[현장] K-방산 지속 성장, '글로벌 규제 대응'에 달렸다…&amp;quot;정부 원팀 지...</t>
        </is>
      </c>
      <c r="C122" t="inlineStr">
        <is>
          <t>http://www.newsian.co.kr/news/articleView.html?idxno=87644</t>
        </is>
      </c>
      <c r="D122" t="inlineStr">
        <is>
          <t>Tue, 24 Mar 2026 19:16:00 +0900</t>
        </is>
      </c>
      <c r="E122">
        <f>HYPERLINK("https://cdn.newsian.co.kr/news/thumbnail/202603/87644_79544_1228_v150.jpg", IMAGE("https://cdn.newsian.co.kr/news/thumbnail/202603/87644_79544_1228_v150.jpg"))</f>
        <v/>
      </c>
    </row>
    <row r="123">
      <c r="A123" t="n">
        <v>122</v>
      </c>
      <c r="B123" t="inlineStr">
        <is>
          <t>마스가 참여하려면 ‘보안 인증’ 필수…“협력업체까지 대비해야”</t>
        </is>
      </c>
      <c r="C123" t="inlineStr">
        <is>
          <t>http://www.newstomato.com/ReadNews.aspx?no=1295369&amp;inflow=N</t>
        </is>
      </c>
      <c r="D123" t="inlineStr">
        <is>
          <t>Tue, 24 Mar 2026 16:50:00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‘100년 성역’ 깬 트럼프의 존스법 유예… K-조선 기회인가 신기루인가</t>
        </is>
      </c>
      <c r="C124" t="inlineStr">
        <is>
          <t>https://www.kukinews.com/article/view/kuk202603190170</t>
        </is>
      </c>
      <c r="D124" t="inlineStr">
        <is>
          <t>Thu, 19 Mar 2026 17:12:00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김종출號 KAI 출범…'경영 안정·수주 확대' 드라이브 건다</t>
        </is>
      </c>
      <c r="C125" t="inlineStr">
        <is>
          <t>https://www.asiatoday.co.kr/view.php?key=20260319010005913</t>
        </is>
      </c>
      <c r="D125" t="inlineStr">
        <is>
          <t>Thu, 19 Mar 2026 15:58:00 +0900</t>
        </is>
      </c>
      <c r="E125">
        <f>HYPERLINK("https://img.asiatoday.co.kr/file/2026y/03m/20d/2026031901001078600059131.jpg", IMAGE("https://img.asiatoday.co.kr/file/2026y/03m/20d/2026031901001078600059131.jpg"))</f>
        <v/>
      </c>
    </row>
    <row r="126">
      <c r="A126" t="n">
        <v>125</v>
      </c>
      <c r="B126" t="inlineStr">
        <is>
          <t>[2026어젠다] 화력보다 '속도'…22년 조달 장벽 깬 미국</t>
        </is>
      </c>
      <c r="C126" t="inlineStr">
        <is>
          <t>https://n.news.naver.com/mnews/article/417/0001134633?sid=104</t>
        </is>
      </c>
      <c r="D126" t="inlineStr">
        <is>
          <t>Wed, 18 Mar 2026 06:00:00 +0900</t>
        </is>
      </c>
      <c r="E126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7">
      <c r="A127" t="n">
        <v>126</v>
      </c>
      <c r="B127" t="inlineStr">
        <is>
          <t>K-방산, 'NATO 무기 공급 세계 2위' 공식 등극…서방 군수 공급망 편입</t>
        </is>
      </c>
      <c r="C127" t="inlineStr">
        <is>
          <t>https://www.m-i.kr/news/articleView.html?idxno=1351596</t>
        </is>
      </c>
      <c r="D127" t="inlineStr">
        <is>
          <t>Tue, 17 Mar 2026 15:00:00 +0900</t>
        </is>
      </c>
      <c r="E127">
        <f>HYPERLINK("https://cdn.m-i.kr/news/thumbnail/202603/1351596_1136361_472_v150.jpg", IMAGE("https://cdn.m-i.kr/news/thumbnail/202603/1351596_1136361_472_v150.jpg"))</f>
        <v/>
      </c>
    </row>
    <row r="128">
      <c r="A128" t="n">
        <v>127</v>
      </c>
      <c r="B128" t="inlineStr">
        <is>
          <t>한화, KAI 지분 7년 만에 재매입…&amp;quot;방산·우주항공 협력 강화&amp;quot;</t>
        </is>
      </c>
      <c r="C128" t="inlineStr">
        <is>
          <t>https://news.mtn.co.kr/news-detail/2026031609273027275</t>
        </is>
      </c>
      <c r="D128" t="inlineStr">
        <is>
          <t>Mon, 16 Mar 2026 10:14:00 +0900</t>
        </is>
      </c>
      <c r="E128">
        <f>HYPERLINK("https://menu.mtn.co.kr/upload/article/2026/03/16/2026031609273027275_00_819.jpg", IMAGE("https://menu.mtn.co.kr/upload/article/2026/03/16/2026031609273027275_00_819.jpg"))</f>
        <v/>
      </c>
    </row>
    <row r="129">
      <c r="A129" t="n">
        <v>128</v>
      </c>
      <c r="B129" t="inlineStr">
        <is>
          <t>‘첩첩산중’ 무주가 우주 기지로… “거대 산봉우리들이 자연 방호벽”</t>
        </is>
      </c>
      <c r="C129" t="inlineStr">
        <is>
          <t>https://n.news.naver.com/mnews/article/023/0003964275?sid=102</t>
        </is>
      </c>
      <c r="D129" t="inlineStr">
        <is>
          <t>Fri, 13 Mar 2026 00:46:00 +0900</t>
        </is>
      </c>
      <c r="E129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0">
      <c r="A130" t="n">
        <v>129</v>
      </c>
      <c r="B130" t="inlineStr">
        <is>
          <t>개청 20년 방사청…‘K-방산 르네상스’ 넘어 글로벌 톱4 안착하려면</t>
        </is>
      </c>
      <c r="C130" t="inlineStr">
        <is>
          <t>https://www.kukinews.com/article/view/kuk202603120062</t>
        </is>
      </c>
      <c r="D130" t="inlineStr">
        <is>
          <t>Thu, 12 Mar 2026 14:16:00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천궁 다음은 한국형 사드? 중동에 팔 신무기 '착착' 나온다</t>
        </is>
      </c>
      <c r="C131" t="inlineStr">
        <is>
          <t>https://www.ajunews.com/view/20260310153628801</t>
        </is>
      </c>
      <c r="D131" t="inlineStr">
        <is>
          <t>Tue, 10 Mar 2026 18:06:00 +0900</t>
        </is>
      </c>
      <c r="E131">
        <f>HYPERLINK("https://image.ajunews.com/content/image/2026/03/10/20260310160412635766.jpg", IMAGE("https://image.ajunews.com/content/image/2026/03/10/20260310160412635766.jpg"))</f>
        <v/>
      </c>
    </row>
    <row r="132">
      <c r="A132" t="n">
        <v>131</v>
      </c>
      <c r="B132" t="inlineStr">
        <is>
          <t>K-방산, 올해 수출 승부처 점검…대형 사업 향방</t>
        </is>
      </c>
      <c r="C132" t="inlineStr">
        <is>
          <t>https://www.m-i.kr/news/articleView.html?idxno=1344768</t>
        </is>
      </c>
      <c r="D132" t="inlineStr">
        <is>
          <t>Tue, 10 Mar 2026 15:46:00 +0900</t>
        </is>
      </c>
      <c r="E132">
        <f>HYPERLINK("https://cdn.m-i.kr/news/thumbnail/202603/1344768_1129699_124_v150.jpg", IMAGE("https://cdn.m-i.kr/news/thumbnail/202603/1344768_1129699_124_v150.jpg"))</f>
        <v/>
      </c>
    </row>
    <row r="133">
      <c r="A133" t="n">
        <v>132</v>
      </c>
      <c r="B133" t="inlineStr">
        <is>
          <t>[미국·이란 전쟁] 드론 군단에 최첨단 방공망 '무용지물'</t>
        </is>
      </c>
      <c r="C133" t="inlineStr">
        <is>
          <t>https://n.news.naver.com/mnews/article/417/0001132298?sid=101</t>
        </is>
      </c>
      <c r="D133" t="inlineStr">
        <is>
          <t>Tue, 03 Mar 2026 14:44:00 +0900</t>
        </is>
      </c>
      <c r="E133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4">
      <c r="A134" t="n">
        <v>133</v>
      </c>
      <c r="B134" t="inlineStr">
        <is>
          <t>한국형 차기 구축함 사업자 7월에 선정</t>
        </is>
      </c>
      <c r="C134" t="inlineStr">
        <is>
          <t>https://n.news.naver.com/mnews/article/056/0012133540?sid=100</t>
        </is>
      </c>
      <c r="D134" t="inlineStr">
        <is>
          <t>Mon, 02 Mar 2026 08:12:00 +0900</t>
        </is>
      </c>
      <c r="E134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5">
      <c r="A135" t="n">
        <v>134</v>
      </c>
      <c r="B135" t="inlineStr">
        <is>
          <t>한국형 차기 구축함 사업자 7월에 선정</t>
        </is>
      </c>
      <c r="C135" t="inlineStr">
        <is>
          <t>https://n.news.naver.com/mnews/article/056/0012133530?sid=100</t>
        </is>
      </c>
      <c r="D135" t="inlineStr">
        <is>
          <t>Mon, 02 Mar 2026 07:35:00 +0900</t>
        </is>
      </c>
      <c r="E135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36">
      <c r="A136" t="n">
        <v>135</v>
      </c>
      <c r="B136" t="inlineStr">
        <is>
          <t>한국형 차기 구축함 사업자 7월에 선정</t>
        </is>
      </c>
      <c r="C136" t="inlineStr">
        <is>
          <t>https://n.news.naver.com/mnews/article/056/0012133398?sid=100</t>
        </is>
      </c>
      <c r="D136" t="inlineStr">
        <is>
          <t>Sun, 01 Mar 2026 22:11:00 +0900</t>
        </is>
      </c>
      <c r="E136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37">
      <c r="A137" t="n">
        <v>136</v>
      </c>
      <c r="B137" t="inlineStr">
        <is>
          <t>[오주석의 이심戰심] 드론 시대에도 헬기는 죽지 않는다</t>
        </is>
      </c>
      <c r="C137" t="inlineStr">
        <is>
          <t>https://www.ajunews.com/view/20260227150934536</t>
        </is>
      </c>
      <c r="D137" t="inlineStr">
        <is>
          <t>Fri, 27 Feb 2026 16:42:00 +0900</t>
        </is>
      </c>
      <c r="E137">
        <f>HYPERLINK("https://image.ajunews.com/content/image/2026/02/27/20260227162415390430.jpg", IMAGE("https://image.ajunews.com/content/image/2026/02/27/20260227162415390430.jpg"))</f>
        <v/>
      </c>
    </row>
    <row r="138">
      <c r="A138" t="n">
        <v>137</v>
      </c>
      <c r="B138" t="inlineStr">
        <is>
          <t>노조 반발에 KAI 사장 인선 불발…리더십 공백 장기화</t>
        </is>
      </c>
      <c r="C138" t="inlineStr">
        <is>
          <t>https://news.mtn.co.kr/news-detail/2026022611002311032</t>
        </is>
      </c>
      <c r="D138" t="inlineStr">
        <is>
          <t>Thu, 26 Feb 2026 11:20:00 +0900</t>
        </is>
      </c>
      <c r="E138">
        <f>HYPERLINK("https://menu.mtn.co.kr/upload/article/2026/02/26/2026022611002311032_00_737.jpg", IMAGE("https://menu.mtn.co.kr/upload/article/2026/02/26/2026022611002311032_00_737.jpg"))</f>
        <v/>
      </c>
    </row>
    <row r="139">
      <c r="A139" t="n">
        <v>138</v>
      </c>
      <c r="B139" t="inlineStr">
        <is>
          <t>'수장 공백’ 장기화 불가피…KAI, 조직 안정·사업 재정비 ‘차질’</t>
        </is>
      </c>
      <c r="C139" t="inlineStr">
        <is>
          <t>https://www.asiatoday.co.kr/view.php?key=20260225010007559</t>
        </is>
      </c>
      <c r="D139" t="inlineStr">
        <is>
          <t>Wed, 25 Feb 2026 16:44:00 +0900</t>
        </is>
      </c>
      <c r="E139">
        <f>HYPERLINK("https://img.asiatoday.co.kr/file/2026y/02m/26d/2026022501001382200075591.jpg", IMAGE("https://img.asiatoday.co.kr/file/2026y/02m/26d/2026022501001382200075591.jpg"))</f>
        <v/>
      </c>
    </row>
    <row r="140">
      <c r="A140" t="n">
        <v>139</v>
      </c>
      <c r="B140" t="inlineStr">
        <is>
          <t>방산 ‘빅4’ 영업익 ‘4조 시대’ 개막… 올해도 성장 기대↑</t>
        </is>
      </c>
      <c r="C140" t="inlineStr">
        <is>
          <t>https://www.smarttoday.co.kr/ko-kr/articles/103440</t>
        </is>
      </c>
      <c r="D140" t="inlineStr">
        <is>
          <t>Thu, 19 Feb 2026 15:20:00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수출이 실적 견인… K-방산 4사, 내수→글로벌로 체질 전환</t>
        </is>
      </c>
      <c r="C141" t="inlineStr">
        <is>
          <t>http://www.newsdream.kr/news/articleView.html?idxno=107410</t>
        </is>
      </c>
      <c r="D141" t="inlineStr">
        <is>
          <t>Tue, 10 Feb 2026 16:38:00 +0900</t>
        </is>
      </c>
      <c r="E141">
        <f>HYPERLINK("https://cdn.newsdream.kr/news/thumbnail/202602/107410_79602_318_v150.jpg", IMAGE("https://cdn.newsdream.kr/news/thumbnail/202602/107410_79602_318_v150.jpg"))</f>
        <v/>
      </c>
    </row>
    <row r="142">
      <c r="A142" t="n">
        <v>141</v>
      </c>
      <c r="B142" t="inlineStr">
        <is>
          <t>韓 방산현장 직관한 加장관… &amp;quot;미래 온 듯&amp;quot; 기술력에 '엄지척'</t>
        </is>
      </c>
      <c r="C142" t="inlineStr">
        <is>
          <t>https://www.asiatoday.co.kr/view.php?key=20260205010001719</t>
        </is>
      </c>
      <c r="D142" t="inlineStr">
        <is>
          <t>Wed, 04 Feb 2026 17:56:00 +0900</t>
        </is>
      </c>
      <c r="E142">
        <f>HYPERLINK("https://img.asiatoday.co.kr/file/2026y/02m/05d/20260205010001719_1770200387_1.jpg", IMAGE("https://img.asiatoday.co.kr/file/2026y/02m/05d/20260205010001719_1770200387_1.jpg"))</f>
        <v/>
      </c>
    </row>
    <row r="143">
      <c r="A143" t="n">
        <v>142</v>
      </c>
      <c r="B143" t="inlineStr">
        <is>
          <t>60조 캐나다 잠수함 수주전···'나토 동맹' 변수되나</t>
        </is>
      </c>
      <c r="C143" t="inlineStr">
        <is>
          <t>http://www.enewstoday.co.kr/news/articleView.html?idxno=2389503</t>
        </is>
      </c>
      <c r="D143" t="inlineStr">
        <is>
          <t>Tue, 03 Feb 2026 08:00:00 +0900</t>
        </is>
      </c>
      <c r="E143">
        <f>HYPERLINK("https://cdn.enewstoday.co.kr/news/thumbnail/202602/2389503_1219270_4041_v150.jpg", IMAGE("https://cdn.enewstoday.co.kr/news/thumbnail/202602/2389503_1219270_4041_v150.jpg"))</f>
        <v/>
      </c>
    </row>
    <row r="144">
      <c r="A144" t="n">
        <v>143</v>
      </c>
      <c r="B144" t="inlineStr">
        <is>
          <t>캐나다로 간 정의선·김동관…불붙은 잠수함 수주 경쟁에 마침표 찍을까</t>
        </is>
      </c>
      <c r="C144" t="inlineStr">
        <is>
          <t>https://www.financialpost.co.kr/news/articleView.html?idxno=245902</t>
        </is>
      </c>
      <c r="D144" t="inlineStr">
        <is>
          <t>Thu, 29 Jan 2026 05:00:00 +0900</t>
        </is>
      </c>
      <c r="E144">
        <f>HYPERLINK("https://cdn.financialpost.co.kr/news/thumbnail/202601/245902_293444_3931_v150.jpg", IMAGE("https://cdn.financialpost.co.kr/news/thumbnail/202601/245902_293444_3931_v150.jpg"))</f>
        <v/>
      </c>
    </row>
    <row r="145">
      <c r="A145" t="n">
        <v>144</v>
      </c>
      <c r="B145" t="inlineStr">
        <is>
          <t>&amp;quot;한국형 핵추진잠수함, 단순 무기 아닌 '국가통합관리체계'&amp;quot;</t>
        </is>
      </c>
      <c r="C145" t="inlineStr">
        <is>
          <t>https://www.econovill.com/news/articleView.html?idxno=727438</t>
        </is>
      </c>
      <c r="D145" t="inlineStr">
        <is>
          <t>Wed, 28 Jan 2026 19:00:00 +0900</t>
        </is>
      </c>
      <c r="E145">
        <f>HYPERLINK("https://cdn.econovill.com/news/thumbnail/202601/727438_695182_5642_v150.jpg", IMAGE("https://cdn.econovill.com/news/thumbnail/202601/727438_695182_5642_v150.jpg"))</f>
        <v/>
      </c>
    </row>
    <row r="146">
      <c r="A146" t="n">
        <v>145</v>
      </c>
      <c r="B146" t="inlineStr">
        <is>
          <t>&amp;quot;美핵잠수함 도입, 제독이 32년 총괄… 韓, 특별법 만들어 독립성 줘야...</t>
        </is>
      </c>
      <c r="C146" t="inlineStr">
        <is>
          <t>https://n.news.naver.com/mnews/article/417/0001126989?sid=100</t>
        </is>
      </c>
      <c r="D146" t="inlineStr">
        <is>
          <t>Wed, 28 Jan 2026 17:51:00 +0900</t>
        </is>
      </c>
      <c r="E146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47">
      <c r="A147" t="n">
        <v>146</v>
      </c>
      <c r="B147" t="inlineStr">
        <is>
          <t>빗장 풀린 한국형 핵잠수함…&amp;quot;중대 전환점, 특별법 제정 시급&amp;quot;</t>
        </is>
      </c>
      <c r="C147" t="inlineStr">
        <is>
          <t>https://n.news.naver.com/mnews/article/119/0003053350?sid=101</t>
        </is>
      </c>
      <c r="D147" t="inlineStr">
        <is>
          <t>Wed, 28 Jan 2026 17:45:00 +0900</t>
        </is>
      </c>
      <c r="E147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2026-06-01T19:55:15Z</dcterms:created>
  <dcterms:modified xsi:type="dcterms:W3CDTF">2026-06-01T19:55:15Z</dcterms:modified>
</cp:coreProperties>
</file>