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유통기한 지난 라면 먹으며 버텼다...K9 이집트 '2조' 수출의 주역은</t>
        </is>
      </c>
      <c r="C2" t="inlineStr">
        <is>
          <t>https://n.news.naver.com/mnews/article/469/0000934040?sid=100</t>
        </is>
      </c>
      <c r="D2" t="inlineStr">
        <is>
          <t>Tue, 02 Jun 2026 14:01:00 +0900</t>
        </is>
      </c>
      <c r="E2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3">
      <c r="A3" t="n">
        <v>2</v>
      </c>
      <c r="B3" t="inlineStr">
        <is>
          <t>미국 장비 분해로 시작...'독자 개발' K9, 세계 자주포 시장 절반 삼켰다</t>
        </is>
      </c>
      <c r="C3" t="inlineStr">
        <is>
          <t>https://n.news.naver.com/mnews/article/469/0000931558?sid=100</t>
        </is>
      </c>
      <c r="D3" t="inlineStr">
        <is>
          <t>Tue, 19 May 2026 14:01:00 +0900</t>
        </is>
      </c>
      <c r="E3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4">
      <c r="A4" t="n">
        <v>3</v>
      </c>
      <c r="B4" t="inlineStr">
        <is>
          <t>전북대, 방사청 '국방사업관리사' 교육 2년 연속 주관기관 선정</t>
        </is>
      </c>
      <c r="C4" t="inlineStr">
        <is>
          <t>http://www.jeonmin.co.kr/news/articleView.html?idxno=439938</t>
        </is>
      </c>
      <c r="D4" t="inlineStr">
        <is>
          <t>Sun, 17 May 2026 22:30:00 +0900</t>
        </is>
      </c>
      <c r="E4">
        <f>HYPERLINK("http://www.jeonmin.co.kr/news/thumbnail/202605/439938_149008_246_v150.jpg", IMAGE("http://www.jeonmin.co.kr/news/thumbnail/202605/439938_149008_246_v150.jpg"))</f>
        <v/>
      </c>
    </row>
    <row r="5">
      <c r="A5" t="n">
        <v>4</v>
      </c>
      <c r="B5" t="inlineStr">
        <is>
          <t>전북대, 국방사업관리사 교육기관 2년 연속 선정</t>
        </is>
      </c>
      <c r="C5" t="inlineStr">
        <is>
          <t>http://www.hansbiz.co.kr/news/articleView.html?idxno=839163</t>
        </is>
      </c>
      <c r="D5" t="inlineStr">
        <is>
          <t>Sun, 17 May 2026 07:56:00 +0900</t>
        </is>
      </c>
      <c r="E5">
        <f>HYPERLINK("https://cdn.hansbiz.co.kr/news/thumbnail/202605/839163_851144_5429_v150.jpg", IMAGE("https://cdn.hansbiz.co.kr/news/thumbnail/202605/839163_851144_5429_v150.jpg"))</f>
        <v/>
      </c>
    </row>
    <row r="6">
      <c r="A6" t="n">
        <v>5</v>
      </c>
      <c r="B6" t="inlineStr">
        <is>
          <t>전북대, 방사청 국방사업관리사 교육 2년 연속 선정</t>
        </is>
      </c>
      <c r="C6" t="inlineStr">
        <is>
          <t>https://www.etoday.co.kr/news/view/2585001</t>
        </is>
      </c>
      <c r="D6" t="inlineStr">
        <is>
          <t>Fri, 15 May 2026 16:20:00 +0900</t>
        </is>
      </c>
      <c r="E6">
        <f>HYPERLINK("https://img.etoday.co.kr/pto_db/2026/05/20260515161317_2334155_700_466.jpg", IMAGE("https://img.etoday.co.kr/pto_db/2026/05/20260515161317_2334155_700_466.jpg"))</f>
        <v/>
      </c>
    </row>
    <row r="7">
      <c r="A7" t="n">
        <v>6</v>
      </c>
      <c r="B7" t="inlineStr">
        <is>
          <t>'방산 전문인력' 전북서 키운다···전북대, 교육과정 재학생·현장 투...</t>
        </is>
      </c>
      <c r="C7" t="inlineStr">
        <is>
          <t>http://www.enewstoday.co.kr/news/articleView.html?idxno=2429866</t>
        </is>
      </c>
      <c r="D7" t="inlineStr">
        <is>
          <t>Fri, 15 May 2026 14:38:00 +0900</t>
        </is>
      </c>
      <c r="E7">
        <f>HYPERLINK("https://cdn.enewstoday.co.kr/news/thumbnail/202605/2429866_1264342_3744_v150.jpg", IMAGE("https://cdn.enewstoday.co.kr/news/thumbnail/202605/2429866_1264342_3744_v150.jpg"))</f>
        <v/>
      </c>
    </row>
    <row r="8">
      <c r="A8" t="n">
        <v>7</v>
      </c>
      <c r="B8" t="inlineStr">
        <is>
          <t>“방산 인재 키운다”…전북대, 국방사업관리사 교육 2년 연속 맡는다</t>
        </is>
      </c>
      <c r="C8" t="inlineStr">
        <is>
          <t>https://n.news.naver.com/mnews/article/002/0002441535?sid=102</t>
        </is>
      </c>
      <c r="D8" t="inlineStr">
        <is>
          <t>Fri, 15 May 2026 13:07:00 +0900</t>
        </is>
      </c>
      <c r="E8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9">
      <c r="A9" t="n">
        <v>8</v>
      </c>
      <c r="B9" t="inlineStr">
        <is>
          <t>안도걸 의원, AI 시대 광반도체 국방 활용 세미나 열어</t>
        </is>
      </c>
      <c r="C9" t="inlineStr">
        <is>
          <t>https://www.jeonmae.co.kr/news/articleView.html?idxno=1256767</t>
        </is>
      </c>
      <c r="D9" t="inlineStr">
        <is>
          <t>Fri, 15 May 2026 12:56:00 +0900</t>
        </is>
      </c>
      <c r="E9">
        <f>HYPERLINK("https://www.jeonmae.co.kr/news/thumbnail/202605/1256767_976877_187_v150.jpg", IMAGE("https://www.jeonmae.co.kr/news/thumbnail/202605/1256767_976877_187_v150.jpg"))</f>
        <v/>
      </c>
    </row>
    <row r="10">
      <c r="A10" t="n">
        <v>9</v>
      </c>
      <c r="B10" t="inlineStr">
        <is>
          <t>전북대, 방사청 '국방사업관리사' 교육 2년 연속 주관기관 선정…방위산...</t>
        </is>
      </c>
      <c r="C10" t="inlineStr">
        <is>
          <t>https://n.news.naver.com/mnews/article/030/0003427957?sid=102</t>
        </is>
      </c>
      <c r="D10" t="inlineStr">
        <is>
          <t>Fri, 15 May 2026 12:01:00 +0900</t>
        </is>
      </c>
      <c r="E10">
        <f>HYPERLINK("https://imgnews.pstatic.net/image/030/2026/05/15/0003427957_001_20260515120114089.jpg?type=w800", IMAGE("https://imgnews.pstatic.net/image/030/2026/05/15/0003427957_001_20260515120114089.jpg?type=w800"))</f>
        <v/>
      </c>
    </row>
    <row r="11">
      <c r="A11" t="n">
        <v>10</v>
      </c>
      <c r="B11" t="inlineStr">
        <is>
          <t>전북대, K-방산 도약 이끌 국방사업관리 전문 인력 양성 박차</t>
        </is>
      </c>
      <c r="C11" t="inlineStr">
        <is>
          <t>https://news.unn.net/news/articleView.html?idxno=592587</t>
        </is>
      </c>
      <c r="D11" t="inlineStr">
        <is>
          <t>Fri, 15 May 2026 11:26:00 +0900</t>
        </is>
      </c>
      <c r="E11">
        <f>HYPERLINK("https://cdn.news.unn.net/news/thumbnail/202605/592587_415811_246_v150.jpg", IMAGE("https://cdn.news.unn.net/news/thumbnail/202605/592587_415811_246_v150.jpg"))</f>
        <v/>
      </c>
    </row>
    <row r="12">
      <c r="A12" t="n">
        <v>11</v>
      </c>
      <c r="B12" t="inlineStr">
        <is>
          <t>전북대 방사청 '국방사업관리사' 교육 2년 연속 주관기관 선정</t>
        </is>
      </c>
      <c r="C12" t="inlineStr">
        <is>
          <t>https://www.veritas-a.com/news/articleView.html?idxno=610278</t>
        </is>
      </c>
      <c r="D12" t="inlineStr">
        <is>
          <t>Fri, 15 May 2026 11:18:00 +0900</t>
        </is>
      </c>
      <c r="E12">
        <f>HYPERLINK("https://cdn.veritas-a.com/news/thumbnail/202605/610278_523484_1622_v150.jpg", IMAGE("https://cdn.veritas-a.com/news/thumbnail/202605/610278_523484_1622_v150.jpg"))</f>
        <v/>
      </c>
    </row>
    <row r="13">
      <c r="A13" t="n">
        <v>12</v>
      </c>
      <c r="B13" t="inlineStr">
        <is>
          <t>尹정부 예산 삭감에 날개 꺾였던 K방산... 향후 3년이 골든타임이다</t>
        </is>
      </c>
      <c r="C13" t="inlineStr">
        <is>
          <t>https://n.news.naver.com/mnews/article/469/0000929083?sid=100</t>
        </is>
      </c>
      <c r="D13" t="inlineStr">
        <is>
          <t>Tue, 05 May 2026 14:00:00 +0900</t>
        </is>
      </c>
      <c r="E13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">
      <c r="A14" t="n">
        <v>13</v>
      </c>
      <c r="B14" t="inlineStr">
        <is>
          <t>[뉴스이용자위원회] &amp;quot;유익하지만 유료화 가능할까 의문... 심층 기획이 ...</t>
        </is>
      </c>
      <c r="C14" t="inlineStr">
        <is>
          <t>https://n.news.naver.com/mnews/article/469/0000928975?sid=103</t>
        </is>
      </c>
      <c r="D14" t="inlineStr">
        <is>
          <t>Mon, 04 May 2026 17:30:00 +0900</t>
        </is>
      </c>
      <c r="E14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5">
      <c r="A15" t="n">
        <v>14</v>
      </c>
      <c r="B15" t="inlineStr">
        <is>
          <t>전북대, 피지컬AI 국방·항공우주·로봇·자율제조 분야 최신 기술 공유</t>
        </is>
      </c>
      <c r="C15" t="inlineStr">
        <is>
          <t>https://n.news.naver.com/mnews/article/030/0003421490?sid=102</t>
        </is>
      </c>
      <c r="D15" t="inlineStr">
        <is>
          <t>Fri, 24 Apr 2026 17:19:00 +0900</t>
        </is>
      </c>
      <c r="E15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6">
      <c r="A16" t="n">
        <v>15</v>
      </c>
      <c r="B16" t="inlineStr">
        <is>
          <t>전북대 주도 AI 학술대회 무주서 열렸다…국방·로봇 핵심 기술 총집결</t>
        </is>
      </c>
      <c r="C16" t="inlineStr">
        <is>
          <t>https://www.betanews.net/article/view/beta202604240028</t>
        </is>
      </c>
      <c r="D16" t="inlineStr">
        <is>
          <t>Fri, 24 Apr 2026 14:16:00 +0900</t>
        </is>
      </c>
      <c r="E16">
        <f>HYPERLINK("https://www.betanews.net/data/beta/image/2026/04/24/beta20260424000033.jpg", IMAGE("https://www.betanews.net/data/beta/image/2026/04/24/beta20260424000033.jpg"))</f>
        <v/>
      </c>
    </row>
    <row r="17">
      <c r="A17" t="n">
        <v>16</v>
      </c>
      <c r="B17" t="inlineStr">
        <is>
          <t>피지컬AI 중심 첨단 연구 성과 전북대에서 공유</t>
        </is>
      </c>
      <c r="C17" t="inlineStr">
        <is>
          <t>https://www.veritas-a.com/news/articleView.html?idxno=607296</t>
        </is>
      </c>
      <c r="D17" t="inlineStr">
        <is>
          <t>Fri, 24 Apr 2026 13:52:00 +0900</t>
        </is>
      </c>
      <c r="E17">
        <f>HYPERLINK("https://cdn.veritas-a.com/news/thumbnail/202604/607296_520659_5152_v150.jpg", IMAGE("https://cdn.veritas-a.com/news/thumbnail/202604/607296_520659_5152_v150.jpg"))</f>
        <v/>
      </c>
    </row>
    <row r="18">
      <c r="A18" t="n">
        <v>17</v>
      </c>
      <c r="B18" t="inlineStr">
        <is>
          <t>방사청, '거짓말' 의혹에 청와대 감사까지 받았지만…KF-21 탄생의 씨앗...</t>
        </is>
      </c>
      <c r="C18" t="inlineStr">
        <is>
          <t>https://n.news.naver.com/mnews/article/469/0000926654?sid=100</t>
        </is>
      </c>
      <c r="D18" t="inlineStr">
        <is>
          <t>Tue, 21 Apr 2026 14:01:00 +0900</t>
        </is>
      </c>
      <c r="E18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9">
      <c r="A19" t="n">
        <v>18</v>
      </c>
      <c r="B19" t="inlineStr">
        <is>
          <t>&amp;quot;전북, 더 이상 방산 변방 아냐... 소재·부품·드론 잇는 전략 심장으로...</t>
        </is>
      </c>
      <c r="C19" t="inlineStr">
        <is>
          <t>http://www.jeollailbo.com/news/articleView.html?idxno=798091</t>
        </is>
      </c>
      <c r="D19" t="inlineStr">
        <is>
          <t>Mon, 20 Apr 2026 17:10:00 +0900</t>
        </is>
      </c>
      <c r="E19">
        <f>HYPERLINK("https://cdn.jeollailbo.com/news/thumbnail/202604/798091_185937_96_v150.jpg", IMAGE("https://cdn.jeollailbo.com/news/thumbnail/202604/798091_185937_96_v150.jpg"))</f>
        <v/>
      </c>
    </row>
    <row r="20">
      <c r="A20" t="n">
        <v>19</v>
      </c>
      <c r="B20" t="inlineStr">
        <is>
          <t>김병주 &amp;quot;전북 탄소가 K-방산 뼈대 만들 것&amp;quot;</t>
        </is>
      </c>
      <c r="C20" t="inlineStr">
        <is>
          <t>http://www.jeollailbo.com/news/articleView.html?idxno=797974</t>
        </is>
      </c>
      <c r="D20" t="inlineStr">
        <is>
          <t>Sun, 19 Apr 2026 14:00:00 +0900</t>
        </is>
      </c>
      <c r="E20">
        <f>HYPERLINK("https://cdn.jeollailbo.com/news/thumbnail/202604/797974_185814_5559_v150.jpg", IMAGE("https://cdn.jeollailbo.com/news/thumbnail/202604/797974_185814_5559_v150.jpg"))</f>
        <v/>
      </c>
    </row>
    <row r="21">
      <c r="A21" t="n">
        <v>20</v>
      </c>
      <c r="B21" t="inlineStr">
        <is>
          <t>국회, K-방산 공급망 세미나 열려…'민관 협력·인증 생태계' 구축 시급</t>
        </is>
      </c>
      <c r="C21" t="inlineStr">
        <is>
          <t>https://n.news.naver.com/mnews/article/030/0003417631?sid=105</t>
        </is>
      </c>
      <c r="D21" t="inlineStr">
        <is>
          <t>Tue, 14 Apr 2026 13:42:00 +0900</t>
        </is>
      </c>
      <c r="E21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22">
      <c r="A22" t="n">
        <v>21</v>
      </c>
      <c r="B22" t="inlineStr">
        <is>
          <t>'K-방산' 미래 경쟁력 강화, 전북 기업과 머리 맞대</t>
        </is>
      </c>
      <c r="C22" t="inlineStr">
        <is>
          <t>http://www.jjn.co.kr/news/articleView.html?idxno=1037820</t>
        </is>
      </c>
      <c r="D22" t="inlineStr">
        <is>
          <t>Sun, 12 Apr 2026 18:28:00 +0900</t>
        </is>
      </c>
      <c r="E22">
        <f>HYPERLINK("https://cdn.jjn.co.kr/news/thumbnail/202604/1037820_263332_274_v150.jpg", IMAGE("https://cdn.jjn.co.kr/news/thumbnail/202604/1037820_263332_274_v150.jpg"))</f>
        <v/>
      </c>
    </row>
    <row r="23">
      <c r="A23" t="n">
        <v>22</v>
      </c>
      <c r="B23" t="inlineStr">
        <is>
          <t>K방산 경쟁력 확보 정책적 지원 방향 모색</t>
        </is>
      </c>
      <c r="C23" t="inlineStr">
        <is>
          <t>https://kookbang.dema.mil.kr/newsWeb/20260413/2/ATCE_CTGR_0010020000/view.do</t>
        </is>
      </c>
      <c r="D23" t="inlineStr">
        <is>
          <t>Sun, 12 Apr 2026 16:32:00 +0900</t>
        </is>
      </c>
      <c r="E23" t="inlineStr">
        <is>
          <t>이미지 없음</t>
        </is>
      </c>
    </row>
    <row r="24">
      <c r="A24" t="n">
        <v>23</v>
      </c>
      <c r="B24" t="inlineStr">
        <is>
          <t>이용철 방위사업청장, 전북서 'K-방산 미래 경쟁력' 해법 찾는다</t>
        </is>
      </c>
      <c r="C24" t="inlineStr">
        <is>
          <t>http://www.jeonmin.co.kr/news/articleView.html?idxno=437704</t>
        </is>
      </c>
      <c r="D24" t="inlineStr">
        <is>
          <t>Sun, 12 Apr 2026 12:34:00 +0900</t>
        </is>
      </c>
      <c r="E24">
        <f>HYPERLINK("http://www.jeonmin.co.kr/news/thumbnail/202604/437704_146952_2517_v150.jpg", IMAGE("http://www.jeonmin.co.kr/news/thumbnail/202604/437704_146952_2517_v150.jpg"))</f>
        <v/>
      </c>
    </row>
    <row r="25">
      <c r="A25" t="n">
        <v>24</v>
      </c>
      <c r="B25" t="inlineStr">
        <is>
          <t>전북대 찾은 방사청…K방산 공급망 재편 신호</t>
        </is>
      </c>
      <c r="C25" t="inlineStr">
        <is>
          <t>https://www.newsfreezone.co.kr/news/articleView.html?idxno=684675</t>
        </is>
      </c>
      <c r="D25" t="inlineStr">
        <is>
          <t>Fri, 10 Apr 2026 19:56:00 +0900</t>
        </is>
      </c>
      <c r="E25">
        <f>HYPERLINK("https://cdn.newsfreezone.co.kr/news/thumbnail/202604/684675_727738_5335_v150.jpg", IMAGE("https://cdn.newsfreezone.co.kr/news/thumbnail/202604/684675_727738_5335_v150.jpg"))</f>
        <v/>
      </c>
    </row>
    <row r="26">
      <c r="A26" t="n">
        <v>25</v>
      </c>
      <c r="B26" t="inlineStr">
        <is>
          <t>방사청-전북 방산기업 간담회…공급망 자립·지역산업 활성화 모색</t>
        </is>
      </c>
      <c r="C26" t="inlineStr">
        <is>
          <t>https://n.news.naver.com/mnews/article/421/0008883068?sid=100</t>
        </is>
      </c>
      <c r="D26" t="inlineStr">
        <is>
          <t>Fri, 10 Apr 2026 17:30:00 +0900</t>
        </is>
      </c>
      <c r="E26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27">
      <c r="A27" t="n">
        <v>26</v>
      </c>
      <c r="B27" t="inlineStr">
        <is>
          <t>&amp;quot;야당 첩자&amp;quot; 소리 들으며 방사청 지켜낸 사람들…K방산 수출 신화의 뒷...</t>
        </is>
      </c>
      <c r="C27" t="inlineStr">
        <is>
          <t>https://n.news.naver.com/mnews/article/469/0000924040?sid=100</t>
        </is>
      </c>
      <c r="D27" t="inlineStr">
        <is>
          <t>Tue, 07 Apr 2026 14:01:00 +0900</t>
        </is>
      </c>
      <c r="E27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28">
      <c r="A28" t="n">
        <v>27</v>
      </c>
      <c r="B28" t="inlineStr">
        <is>
          <t>&amp;quot;2억5천만→10억 달러&amp;quot;…방사청 출범 2년 만에 방산수출 4배 뛴 까닭은</t>
        </is>
      </c>
      <c r="C28" t="inlineStr">
        <is>
          <t>https://n.news.naver.com/mnews/article/469/0000921315?sid=100</t>
        </is>
      </c>
      <c r="D28" t="inlineStr">
        <is>
          <t>Tue, 24 Mar 2026 14:01:00 +0900</t>
        </is>
      </c>
      <c r="E28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29">
      <c r="A29" t="n">
        <v>28</v>
      </c>
      <c r="B29" t="inlineStr">
        <is>
          <t>방산비리 척결하려 만든 조직이 'K-방산' 신화 썼다…방위사업청 탄생 ...</t>
        </is>
      </c>
      <c r="C29" t="inlineStr">
        <is>
          <t>https://n.news.naver.com/mnews/article/469/0000918578?sid=100</t>
        </is>
      </c>
      <c r="D29" t="inlineStr">
        <is>
          <t>Tue, 10 Mar 2026 14:01:00 +0900</t>
        </is>
      </c>
      <c r="E29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30">
      <c r="A30" t="n">
        <v>29</v>
      </c>
      <c r="B30" t="inlineStr">
        <is>
          <t>[창간 11주년 특별기획-조선·방산산업 전망] ③ K-방산, 글로벌 시장 주...</t>
        </is>
      </c>
      <c r="C30" t="inlineStr">
        <is>
          <t>http://www.hansbiz.co.kr/news/articleView.html?idxno=822262</t>
        </is>
      </c>
      <c r="D30" t="inlineStr">
        <is>
          <t>Mon, 09 Mar 2026 07:00:00 +0900</t>
        </is>
      </c>
      <c r="E30">
        <f>HYPERLINK("https://cdn.hansbiz.co.kr/news/thumbnail/202603/822262_827126_813_v150.jpg", IMAGE("https://cdn.hansbiz.co.kr/news/thumbnail/202603/822262_827126_813_v150.jpg"))</f>
        <v/>
      </c>
    </row>
    <row r="31">
      <c r="A31" t="n">
        <v>30</v>
      </c>
      <c r="B31" t="inlineStr">
        <is>
          <t>전북대, 방산 인공지능 인재양성 선정</t>
        </is>
      </c>
      <c r="C31" t="inlineStr">
        <is>
          <t>https://www.naeil.com/news/read/580357?ref=naver</t>
        </is>
      </c>
      <c r="D31" t="inlineStr">
        <is>
          <t>Sun, 08 Mar 2026 17:46:00 +0900</t>
        </is>
      </c>
      <c r="E31">
        <f>HYPERLINK("https://static.naeil.com/img/rect_logo.jpg", IMAGE("https://static.naeil.com/img/rect_logo.jpg"))</f>
        <v/>
      </c>
    </row>
    <row r="32">
      <c r="A32" t="n">
        <v>31</v>
      </c>
      <c r="B32" t="inlineStr">
        <is>
          <t>전북대, 첨단인재양성 부트캠프 사업 선정</t>
        </is>
      </c>
      <c r="C32" t="inlineStr">
        <is>
          <t>https://n.news.naver.com/mnews/article/025/0003507025?sid=102</t>
        </is>
      </c>
      <c r="D32" t="inlineStr">
        <is>
          <t>Thu, 05 Mar 2026 14:49:00 +0900</t>
        </is>
      </c>
      <c r="E32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33">
      <c r="A33" t="n">
        <v>32</v>
      </c>
      <c r="B33" t="inlineStr">
        <is>
          <t>전북대, '첨단산업 인재양성 부트캠프' AI 분야 선정</t>
        </is>
      </c>
      <c r="C33" t="inlineStr">
        <is>
          <t>http://www.jeonmin.co.kr/news/articleView.html?idxno=435119</t>
        </is>
      </c>
      <c r="D33" t="inlineStr">
        <is>
          <t>Wed, 04 Mar 2026 20:48:00 +0900</t>
        </is>
      </c>
      <c r="E33">
        <f>HYPERLINK("http://www.jeonmin.co.kr/news/thumbnail/202603/435119_144745_4131_v150.jpg", IMAGE("http://www.jeonmin.co.kr/news/thumbnail/202603/435119_144745_4131_v150.jpg"))</f>
        <v/>
      </c>
    </row>
    <row r="34">
      <c r="A34" t="n">
        <v>33</v>
      </c>
      <c r="B34" t="inlineStr">
        <is>
          <t>“AI·방산 인재 키운다”…전북대, 71억 ‘첨단인재양성 부트캠프’ 선...</t>
        </is>
      </c>
      <c r="C34" t="inlineStr">
        <is>
          <t>https://n.news.naver.com/mnews/article/002/0002430291?sid=102</t>
        </is>
      </c>
      <c r="D34" t="inlineStr">
        <is>
          <t>Wed, 04 Mar 2026 16:47:00 +0900</t>
        </is>
      </c>
      <c r="E34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35">
      <c r="A35" t="n">
        <v>34</v>
      </c>
      <c r="B35" t="inlineStr">
        <is>
          <t>전북대, 실무형 방산 AI 전문인력 양성 나선다</t>
        </is>
      </c>
      <c r="C35" t="inlineStr">
        <is>
          <t>http://www.jeollailbo.com/news/articleView.html?idxno=793790</t>
        </is>
      </c>
      <c r="D35" t="inlineStr">
        <is>
          <t>Wed, 04 Mar 2026 16:38:00 +0900</t>
        </is>
      </c>
      <c r="E35">
        <f>HYPERLINK("https://cdn.jeollailbo.com/news/thumbnail/202603/793790_181909_109_v150.jpg", IMAGE("https://cdn.jeollailbo.com/news/thumbnail/202603/793790_181909_109_v150.jpg"))</f>
        <v/>
      </c>
    </row>
    <row r="36">
      <c r="A36" t="n">
        <v>35</v>
      </c>
      <c r="B36" t="inlineStr">
        <is>
          <t>전북대 71억 규모 '첨단인재양성 부트캠프 사업' 선정</t>
        </is>
      </c>
      <c r="C36" t="inlineStr">
        <is>
          <t>http://www.veritas-a.com/news/articleView.html?idxno=600409</t>
        </is>
      </c>
      <c r="D36" t="inlineStr">
        <is>
          <t>Wed, 04 Mar 2026 14:34:00 +0900</t>
        </is>
      </c>
      <c r="E36">
        <f>HYPERLINK("https://cdn.veritas-a.com/news/thumbnail/202603/600409_514021_3155_v150.jpg", IMAGE("https://cdn.veritas-a.com/news/thumbnail/202603/600409_514021_3155_v150.jpg"))</f>
        <v/>
      </c>
    </row>
    <row r="37">
      <c r="A37" t="n">
        <v>36</v>
      </c>
      <c r="B37" t="inlineStr">
        <is>
          <t>전북대, 첨단산업 인재양성 부트캠프 사업 선정</t>
        </is>
      </c>
      <c r="C37" t="inlineStr">
        <is>
          <t>https://n.news.naver.com/mnews/article/031/0001010129?sid=102</t>
        </is>
      </c>
      <c r="D37" t="inlineStr">
        <is>
          <t>Wed, 04 Mar 2026 12:37:00 +0900</t>
        </is>
      </c>
      <c r="E37">
        <f>HYPERLINK("https://imgnews.pstatic.net/image/031/2026/03/04/0001010129_001_20260304123710175.jpg?type=w800", IMAGE("https://imgnews.pstatic.net/image/031/2026/03/04/0001010129_001_20260304123710175.jpg?type=w800"))</f>
        <v/>
      </c>
    </row>
    <row r="38">
      <c r="A38" t="n">
        <v>37</v>
      </c>
      <c r="B38" t="inlineStr">
        <is>
          <t>K-방산, ‘수출 호황’ 넘어 지속 성장으로…정책·산업 생태계 재설계...</t>
        </is>
      </c>
      <c r="C38" t="inlineStr">
        <is>
          <t>https://www.asiatoday.co.kr/view.php?key=20260225010007356</t>
        </is>
      </c>
      <c r="D38" t="inlineStr">
        <is>
          <t>Wed, 25 Feb 2026 11:46:00 +0900</t>
        </is>
      </c>
      <c r="E38">
        <f>HYPERLINK("https://img.asiatoday.co.kr/file/2026y/02m/25d/2026022501001345400073561.jpg", IMAGE("https://img.asiatoday.co.kr/file/2026y/02m/25d/2026022501001345400073561.jpg"))</f>
        <v/>
      </c>
    </row>
    <row r="39">
      <c r="A39" t="n">
        <v>38</v>
      </c>
      <c r="B39" t="inlineStr">
        <is>
          <t>'백발백중' K2, 독일 레오파르트 꺾고 1등했는데...6개월 방치하다 수주...</t>
        </is>
      </c>
      <c r="C39" t="inlineStr">
        <is>
          <t>https://n.news.naver.com/mnews/article/469/0000915993?sid=100</t>
        </is>
      </c>
      <c r="D39" t="inlineStr">
        <is>
          <t>Tue, 24 Feb 2026 14:01:00 +0900</t>
        </is>
      </c>
      <c r="E39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40">
      <c r="A40" t="n">
        <v>39</v>
      </c>
      <c r="B40" t="inlineStr">
        <is>
          <t>압도적 성능 K2 전차, 폴란드 장관이 '러브샷'까지 제안한 배경은</t>
        </is>
      </c>
      <c r="C40" t="inlineStr">
        <is>
          <t>https://n.news.naver.com/mnews/article/469/0000913811?sid=100</t>
        </is>
      </c>
      <c r="D40" t="inlineStr">
        <is>
          <t>Tue, 10 Feb 2026 14:01:00 +0900</t>
        </is>
      </c>
      <c r="E40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41">
      <c r="A41" t="n">
        <v>40</v>
      </c>
      <c r="B41" t="inlineStr">
        <is>
          <t>10년 난제 K2 전차 변속기...외국선 '호평' 국내선 '불합격' 이유는?</t>
        </is>
      </c>
      <c r="C41" t="inlineStr">
        <is>
          <t>https://n.news.naver.com/mnews/article/469/0000911207?sid=102</t>
        </is>
      </c>
      <c r="D41" t="inlineStr">
        <is>
          <t>Tue, 27 Jan 2026 14:02:00 +0900</t>
        </is>
      </c>
      <c r="E41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42">
      <c r="A42" t="n">
        <v>41</v>
      </c>
      <c r="B42" t="inlineStr">
        <is>
          <t>전북대학교, 세계 최고 방산 AI기업 '쉴드 AI'와 전략적 협력 추진</t>
        </is>
      </c>
      <c r="C42" t="inlineStr">
        <is>
          <t>https://www.lecturernews.com/news/articleView.html?idxno=194930</t>
        </is>
      </c>
      <c r="D42" t="inlineStr">
        <is>
          <t>Sun, 18 Jan 2026 12:00:00 +0900</t>
        </is>
      </c>
      <c r="E42">
        <f>HYPERLINK("https://cdn.lecturernews.com/news/thumbnail/202601/194930_459178_2040_v150.jpg", IMAGE("https://cdn.lecturernews.com/news/thumbnail/202601/194930_459178_2040_v150.jpg"))</f>
        <v/>
      </c>
    </row>
    <row r="43">
      <c r="A43" t="n">
        <v>42</v>
      </c>
      <c r="B43" t="inlineStr">
        <is>
          <t>전북대, 방산 AI 유니콘 ‘쉴드 AI’와 전략 협력 추진</t>
        </is>
      </c>
      <c r="C43" t="inlineStr">
        <is>
          <t>https://www.naeil.com/news/read/574819?ref=naver</t>
        </is>
      </c>
      <c r="D43" t="inlineStr">
        <is>
          <t>Sat, 17 Jan 2026 15:28:00 +0900</t>
        </is>
      </c>
      <c r="E43">
        <f>HYPERLINK("https://static.naeil.com/img/rect_logo.jpg", IMAGE("https://static.naeil.com/img/rect_logo.jpg"))</f>
        <v/>
      </c>
    </row>
    <row r="44">
      <c r="A44" t="n">
        <v>43</v>
      </c>
      <c r="B44" t="inlineStr">
        <is>
          <t>전북대, 세계 3대 방산유니콘 '쉴드 AI'와 전략적 협력 추진</t>
        </is>
      </c>
      <c r="C44" t="inlineStr">
        <is>
          <t>http://www.kyosu.net/news/articleView.html?idxno=155230</t>
        </is>
      </c>
      <c r="D44" t="inlineStr">
        <is>
          <t>Thu, 15 Jan 2026 21:16:00 +0900</t>
        </is>
      </c>
      <c r="E44">
        <f>HYPERLINK("https://cdn.kyosu.net/news/photo/202601/155230_150748_1015.png", IMAGE("https://cdn.kyosu.net/news/photo/202601/155230_150748_1015.png"))</f>
        <v/>
      </c>
    </row>
    <row r="45">
      <c r="A45" t="n">
        <v>44</v>
      </c>
      <c r="B45" t="inlineStr">
        <is>
          <t>전북대, 방산 AI 유니콘 '쉴드 AI'와 협력 추진</t>
        </is>
      </c>
      <c r="C45" t="inlineStr">
        <is>
          <t>http://www.jeonmin.co.kr/news/articleView.html?idxno=432185</t>
        </is>
      </c>
      <c r="D45" t="inlineStr">
        <is>
          <t>Thu, 15 Jan 2026 20:08:00 +0900</t>
        </is>
      </c>
      <c r="E45">
        <f>HYPERLINK("http://www.jeonmin.co.kr/news/thumbnail/202601/432185_142198_718_v150.jpg", IMAGE("http://www.jeonmin.co.kr/news/thumbnail/202601/432185_142198_718_v150.jpg"))</f>
        <v/>
      </c>
    </row>
    <row r="46">
      <c r="A46" t="n">
        <v>45</v>
      </c>
      <c r="B46" t="inlineStr">
        <is>
          <t>전북대, 글로벌 방산 AI 유니콘 쉴드 AI와 피지컬 AI 협력 추진</t>
        </is>
      </c>
      <c r="C46" t="inlineStr">
        <is>
          <t>https://www.betanews.net/article/view/beta202601150086</t>
        </is>
      </c>
      <c r="D46" t="inlineStr">
        <is>
          <t>Thu, 15 Jan 2026 19:26:00 +0900</t>
        </is>
      </c>
      <c r="E46">
        <f>HYPERLINK("https://www.betanews.net/data/beta/image/2026/01/15/beta20260115000099.jpg", IMAGE("https://www.betanews.net/data/beta/image/2026/01/15/beta20260115000099.jpg"))</f>
        <v/>
      </c>
    </row>
    <row r="47">
      <c r="A47" t="n">
        <v>46</v>
      </c>
      <c r="B47" t="inlineStr">
        <is>
          <t>전북대, 세계 최고 방산 AI기업 '쉴드 AI'와 전략적 협력 체계 구축한다</t>
        </is>
      </c>
      <c r="C47" t="inlineStr">
        <is>
          <t>http://www.domin.co.kr/news/articleView.html?idxno=1542514</t>
        </is>
      </c>
      <c r="D47" t="inlineStr">
        <is>
          <t>Thu, 15 Jan 2026 18:24:00 +0900</t>
        </is>
      </c>
      <c r="E47">
        <f>HYPERLINK("http://www.domin.co.kr/news/thumbnail/202601/1542514_744671_2955_v150.jpg", IMAGE("http://www.domin.co.kr/news/thumbnail/202601/1542514_744671_2955_v150.jpg"))</f>
        <v/>
      </c>
    </row>
    <row r="48">
      <c r="A48" t="n">
        <v>47</v>
      </c>
      <c r="B48" t="inlineStr">
        <is>
          <t>전북대, 세계 최고 방산 AI기업 '쉴드 AI'와 전략적 협력 추진...피지컬...</t>
        </is>
      </c>
      <c r="C48" t="inlineStr">
        <is>
          <t>http://www.jbsori.com/news/articleView.html?idxno=16762</t>
        </is>
      </c>
      <c r="D48" t="inlineStr">
        <is>
          <t>Thu, 15 Jan 2026 15:50:00 +0900</t>
        </is>
      </c>
      <c r="E48">
        <f>HYPERLINK("https://cdn.jbsori.com/news/thumbnail/202601/16762_37404_4735_v150.jpg", IMAGE("https://cdn.jbsori.com/news/thumbnail/202601/16762_37404_4735_v150.jpg"))</f>
        <v/>
      </c>
    </row>
    <row r="49">
      <c r="A49" t="n">
        <v>48</v>
      </c>
      <c r="B49" t="inlineStr">
        <is>
          <t>전북대, 세계 3대 방산 유니콘 '쉴드 AI'와 맞손</t>
        </is>
      </c>
      <c r="C49" t="inlineStr">
        <is>
          <t>http://www.gjdream.com/news/articleView.html?idxno=666107</t>
        </is>
      </c>
      <c r="D49" t="inlineStr">
        <is>
          <t>Thu, 15 Jan 2026 15:14:00 +0900</t>
        </is>
      </c>
      <c r="E49">
        <f>HYPERLINK("https://cdn.gjdream.com/news/photo/202601/666107_278726_559.png", IMAGE("https://cdn.gjdream.com/news/photo/202601/666107_278726_559.png"))</f>
        <v/>
      </c>
    </row>
    <row r="50">
      <c r="A50" t="n">
        <v>49</v>
      </c>
      <c r="B50" t="inlineStr">
        <is>
          <t>전북대, 세계 최고 방산 AI기업 '쉴드 AI'와 전략적 협력 추진</t>
        </is>
      </c>
      <c r="C50" t="inlineStr">
        <is>
          <t>https://www.gukjenews.com/news/articleView.html?idxno=3481565</t>
        </is>
      </c>
      <c r="D50" t="inlineStr">
        <is>
          <t>Thu, 15 Jan 2026 14:06:00 +0900</t>
        </is>
      </c>
      <c r="E50">
        <f>HYPERLINK("https://cdn.gukjenews.com/news/thumbnail/202601/3481565_3625055_228_v150.jpg", IMAGE("https://cdn.gukjenews.com/news/thumbnail/202601/3481565_3625055_228_v150.jpg"))</f>
        <v/>
      </c>
    </row>
    <row r="51">
      <c r="A51" t="n">
        <v>50</v>
      </c>
      <c r="B51" t="inlineStr">
        <is>
          <t>전북대, 세계 3대 방산유니콘 '쉴드 AI'와 전략적 협력 추진</t>
        </is>
      </c>
      <c r="C51" t="inlineStr">
        <is>
          <t>http://www.veritas-a.com/news/articleView.html?idxno=594342</t>
        </is>
      </c>
      <c r="D51" t="inlineStr">
        <is>
          <t>Thu, 15 Jan 2026 12:22:00 +0900</t>
        </is>
      </c>
      <c r="E51">
        <f>HYPERLINK("https://cdn.veritas-a.com/news/thumbnail/202601/594342_508142_2029_v150.jpg", IMAGE("https://cdn.veritas-a.com/news/thumbnail/202601/594342_508142_2029_v150.jpg"))</f>
        <v/>
      </c>
    </row>
    <row r="52">
      <c r="A52" t="n">
        <v>51</v>
      </c>
      <c r="B52" t="inlineStr">
        <is>
          <t>전북대, 세계 최고 방산 AI기업 '쉴드 AI'와 전략적 협력 추진</t>
        </is>
      </c>
      <c r="C52" t="inlineStr">
        <is>
          <t>https://n.news.naver.com/mnews/article/030/0003390311?sid=102</t>
        </is>
      </c>
      <c r="D52" t="inlineStr">
        <is>
          <t>Thu, 15 Jan 2026 12:12:00 +0900</t>
        </is>
      </c>
      <c r="E52">
        <f>HYPERLINK("https://imgnews.pstatic.net/image/030/2026/01/15/0003390311_001_20260115121217425.jpg?type=w800", IMAGE("https://imgnews.pstatic.net/image/030/2026/01/15/0003390311_001_20260115121217425.jpg?type=w800"))</f>
        <v/>
      </c>
    </row>
    <row r="53">
      <c r="A53" t="n">
        <v>52</v>
      </c>
      <c r="B53" t="inlineStr">
        <is>
          <t>전북대, 유니콘 '쉴드 AI'와 협력…피지컬 AI·방산 교육 연계</t>
        </is>
      </c>
      <c r="C53" t="inlineStr">
        <is>
          <t>https://n.news.naver.com/mnews/article/003/0013712078?sid=102</t>
        </is>
      </c>
      <c r="D53" t="inlineStr">
        <is>
          <t>Thu, 15 Jan 2026 10:57:00 +0900</t>
        </is>
      </c>
      <c r="E53">
        <f>HYPERLINK("https://imgnews.pstatic.net/image/003/2026/01/15/NISI20260115_0002041291_web_20260115105424_20260115105822871.jpg?type=w800", IMAGE("https://imgnews.pstatic.net/image/003/2026/01/15/NISI20260115_0002041291_web_20260115105424_20260115105822871.jpg?type=w800"))</f>
        <v/>
      </c>
    </row>
    <row r="54">
      <c r="A54" t="n">
        <v>53</v>
      </c>
      <c r="B54" t="inlineStr">
        <is>
          <t>전북대, 세계 3대 방산유니콘 '쉴드 AI'와 전략적 협력</t>
        </is>
      </c>
      <c r="C54" t="inlineStr">
        <is>
          <t>https://news.unn.net/news/articleView.html?idxno=588811</t>
        </is>
      </c>
      <c r="D54" t="inlineStr">
        <is>
          <t>Thu, 15 Jan 2026 10:36:00 +0900</t>
        </is>
      </c>
      <c r="E54">
        <f>HYPERLINK("https://cdn.news.unn.net/news/thumbnail/202601/588811_410518_3418_v150.jpg", IMAGE("https://cdn.news.unn.net/news/thumbnail/202601/588811_410518_3418_v150.jpg"))</f>
        <v/>
      </c>
    </row>
    <row r="55">
      <c r="A55" t="n">
        <v>54</v>
      </c>
      <c r="B55" t="inlineStr">
        <is>
          <t>K2 전차, 6번 실패하고 7번째는 아예 포기...대통령 한 마디에 실마리 찾...</t>
        </is>
      </c>
      <c r="C55" t="inlineStr">
        <is>
          <t>https://n.news.naver.com/mnews/article/469/0000908662?sid=102</t>
        </is>
      </c>
      <c r="D55" t="inlineStr">
        <is>
          <t>Tue, 13 Jan 2026 14:01:00 +0900</t>
        </is>
      </c>
      <c r="E55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56">
      <c r="A56" t="n">
        <v>55</v>
      </c>
      <c r="B56" t="inlineStr">
        <is>
          <t>한화에어로 참사, 미국·EU 방산 입찰 발목 잡나...'대전 사고' 도마 위</t>
        </is>
      </c>
      <c r="C56" t="inlineStr">
        <is>
          <t>https://www.insightkorea.co.kr/news/articleView.html?idxno=247498</t>
        </is>
      </c>
      <c r="D56" t="inlineStr">
        <is>
          <t>Tue, 02 Jun 2026 16:02:00 +0900</t>
        </is>
      </c>
      <c r="E56">
        <f>HYPERLINK("https://cdn.insightkorea.co.kr/news/thumbnail/202606/247498_257207_2618_v150.jpg", IMAGE("https://cdn.insightkorea.co.kr/news/thumbnail/202606/247498_257207_2618_v150.jpg"))</f>
        <v/>
      </c>
    </row>
    <row r="57">
      <c r="A57" t="n">
        <v>56</v>
      </c>
      <c r="B57" t="inlineStr">
        <is>
          <t>반복된 폭발사고…K방산 신뢰도 ‘악영향’</t>
        </is>
      </c>
      <c r="C57" t="inlineStr">
        <is>
          <t>http://www.newstomato.com/ReadNews.aspx?no=1302742&amp;inflow=N</t>
        </is>
      </c>
      <c r="D57" t="inlineStr">
        <is>
          <t>Tue, 02 Jun 2026 14:48:00 +0900</t>
        </is>
      </c>
      <c r="E57">
        <f>HYPERLINK("https://image.newstomato.com/newsimg/2026/6/2/1302742/attach.jpg?v=202606021446", IMAGE("https://image.newstomato.com/newsimg/2026/6/2/1302742/attach.jpg?v=202606021446"))</f>
        <v/>
      </c>
    </row>
    <row r="58">
      <c r="A58" t="n">
        <v>57</v>
      </c>
      <c r="B58" t="inlineStr">
        <is>
          <t>KDDX 보안 감점 공방이 던진 질문…방산 조달 사업의 大원칙은</t>
        </is>
      </c>
      <c r="C58" t="inlineStr">
        <is>
          <t>https://www.smarttoday.co.kr/ko-kr/articles/108042</t>
        </is>
      </c>
      <c r="D58" t="inlineStr">
        <is>
          <t>Tue, 02 Jun 2026 13:04:00 +0900</t>
        </is>
      </c>
      <c r="E58" t="inlineStr">
        <is>
          <t>이미지 없음</t>
        </is>
      </c>
    </row>
    <row r="59">
      <c r="A59" t="n">
        <v>58</v>
      </c>
      <c r="B59" t="inlineStr">
        <is>
          <t>[상생의 힘, 기업가치를 올린다] 김동관의 한화, 방산 넘어 안보 기업으...</t>
        </is>
      </c>
      <c r="C59" t="inlineStr">
        <is>
          <t>https://www.g-enews.com/view.php?ud=20260601151511969112616b072_1</t>
        </is>
      </c>
      <c r="D59" t="inlineStr">
        <is>
          <t>Mon, 01 Jun 2026 19:12:00 +0900</t>
        </is>
      </c>
      <c r="E59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60">
      <c r="A60" t="n">
        <v>59</v>
      </c>
      <c r="B60" t="inlineStr">
        <is>
          <t>[상생의 힘, 기업가치를 올린다] 한화, 방산·조선·우주 국가전략산업...</t>
        </is>
      </c>
      <c r="C60" t="inlineStr">
        <is>
          <t>https://www.g-enews.com/view.php?ud=202606011338107634112616b072_1</t>
        </is>
      </c>
      <c r="D60" t="inlineStr">
        <is>
          <t>Mon, 01 Jun 2026 19:08:00 +0900</t>
        </is>
      </c>
      <c r="E60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61">
      <c r="A61" t="n">
        <v>60</v>
      </c>
      <c r="B61" t="inlineStr">
        <is>
          <t>‘K-잠수함’ 1만4000km 잠항, 獨 꺾고 60조 잭팟 터뜨릴까</t>
        </is>
      </c>
      <c r="C61" t="inlineStr">
        <is>
          <t>https://www.viva100.com/article/20260601500751</t>
        </is>
      </c>
      <c r="D61" t="inlineStr">
        <is>
          <t>Mon, 01 Jun 2026 15:32:00 +0900</t>
        </is>
      </c>
      <c r="E61">
        <f>HYPERLINK("https://stqnq5ux4599.edge.naverncp.com/data2//content/image/2026/06/01/.cache/512/20260601500736.jpg?v=20260603033214", IMAGE("https://stqnq5ux4599.edge.naverncp.com/data2//content/image/2026/06/01/.cache/512/20260601500736.jpg?v=20260603033214"))</f>
        <v/>
      </c>
    </row>
    <row r="62">
      <c r="A62" t="n">
        <v>61</v>
      </c>
      <c r="B62" t="inlineStr">
        <is>
          <t>60조 캐나다 잠수함 수주전…K조선 ‘원팀’ 총공세</t>
        </is>
      </c>
      <c r="C62" t="inlineStr">
        <is>
          <t>https://news.mtn.co.kr/news-detail/2026052916113069731</t>
        </is>
      </c>
      <c r="D62" t="inlineStr">
        <is>
          <t>Fri, 29 May 2026 17:40:00 +0900</t>
        </is>
      </c>
      <c r="E62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63">
      <c r="A63" t="n">
        <v>62</v>
      </c>
      <c r="B63" t="inlineStr">
        <is>
          <t>[K-방산 빅뱅/②]한화의 KAI 인수, 독점이 아닌 6가지 근거</t>
        </is>
      </c>
      <c r="C63" t="inlineStr">
        <is>
          <t>https://www.businessplus.kr/news/articleView.html?idxno=112382</t>
        </is>
      </c>
      <c r="D63" t="inlineStr">
        <is>
          <t>Fri, 29 May 2026 15:14:00 +0900</t>
        </is>
      </c>
      <c r="E63">
        <f>HYPERLINK("https://cdn.businessplus.kr/news/thumbnail/202605/112382_108441_231_v150.jpg", IMAGE("https://cdn.businessplus.kr/news/thumbnail/202605/112382_108441_231_v150.jpg"))</f>
        <v/>
      </c>
    </row>
    <row r="64">
      <c r="A64" t="n">
        <v>63</v>
      </c>
      <c r="B64" t="inlineStr">
        <is>
          <t>美 탄약난 현실화 …&amp;quot;지금이 K방산 진출 적기&amp;quot;</t>
        </is>
      </c>
      <c r="C64" t="inlineStr">
        <is>
          <t>https://news.mtn.co.kr/news-detail/2026052816405142132</t>
        </is>
      </c>
      <c r="D64" t="inlineStr">
        <is>
          <t>Thu, 28 May 2026 17:38:00 +0900</t>
        </is>
      </c>
      <c r="E64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65">
      <c r="A65" t="n">
        <v>64</v>
      </c>
      <c r="B65" t="inlineStr">
        <is>
          <t>KDDX 사업 입찰에서 보안감점이 왜 중요한 변수인가</t>
        </is>
      </c>
      <c r="C65" t="inlineStr">
        <is>
          <t>https://n.news.naver.com/mnews/article/031/0001031528?sid=101</t>
        </is>
      </c>
      <c r="D65" t="inlineStr">
        <is>
          <t>Thu, 28 May 2026 15:29:00 +0900</t>
        </is>
      </c>
      <c r="E65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66">
      <c r="A66" t="n">
        <v>65</v>
      </c>
      <c r="B66" t="inlineStr">
        <is>
          <t>한화오션·HD현대重, 한국형 핵잠 수주전 준비⋯원팀 가능성도</t>
        </is>
      </c>
      <c r="C66" t="inlineStr">
        <is>
          <t>https://n.news.naver.com/mnews/article/031/0001031422?sid=101</t>
        </is>
      </c>
      <c r="D66" t="inlineStr">
        <is>
          <t>Thu, 28 May 2026 10:35:00 +0900</t>
        </is>
      </c>
      <c r="E66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67">
      <c r="A67" t="n">
        <v>66</v>
      </c>
      <c r="B67" t="inlineStr">
        <is>
          <t>‘2년 표류’ KDDX 2파전 공식화…HD현대重, 입찰 전격 참여 동시에 가처...</t>
        </is>
      </c>
      <c r="C67" t="inlineStr">
        <is>
          <t>https://n.news.naver.com/mnews/article/117/0004068665?sid=103</t>
        </is>
      </c>
      <c r="D67" t="inlineStr">
        <is>
          <t>Wed, 27 May 2026 17:23:00 +0900</t>
        </is>
      </c>
      <c r="E67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68">
      <c r="A68" t="n">
        <v>67</v>
      </c>
      <c r="B68" t="inlineStr">
        <is>
          <t>‘감점’ vs 설계 공백’…HD현대 ‧ 한화 7조 KDDX 2차 입찰 격돌</t>
        </is>
      </c>
      <c r="C68" t="inlineStr">
        <is>
          <t>https://www.kukinews.com/article/view/kuk202605260176</t>
        </is>
      </c>
      <c r="D68" t="inlineStr">
        <is>
          <t>Wed, 27 May 2026 06:02:00 +0900</t>
        </is>
      </c>
      <c r="E68" t="inlineStr">
        <is>
          <t>이미지 없음</t>
        </is>
      </c>
    </row>
    <row r="69">
      <c r="A69" t="n">
        <v>68</v>
      </c>
      <c r="B69" t="inlineStr">
        <is>
          <t>한화에어로, KAI 지분 확대… '한국판 스페이스X' 꿈꾼다</t>
        </is>
      </c>
      <c r="C69" t="inlineStr">
        <is>
          <t>https://n.news.naver.com/mnews/article/014/0005526660?sid=101</t>
        </is>
      </c>
      <c r="D69" t="inlineStr">
        <is>
          <t>Tue, 26 May 2026 18:21:00 +0900</t>
        </is>
      </c>
      <c r="E69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70">
      <c r="A70" t="n">
        <v>69</v>
      </c>
      <c r="B70" t="inlineStr">
        <is>
          <t>한화, KAI 지분 또 샀다… '한국판 스페이스X' 향한 거침없는 직진</t>
        </is>
      </c>
      <c r="C70" t="inlineStr">
        <is>
          <t>https://n.news.naver.com/mnews/article/014/0005526446?sid=101</t>
        </is>
      </c>
      <c r="D70" t="inlineStr">
        <is>
          <t>Tue, 26 May 2026 14:57:00 +0900</t>
        </is>
      </c>
      <c r="E70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71">
      <c r="A71" t="n">
        <v>70</v>
      </c>
      <c r="B71" t="inlineStr">
        <is>
          <t>日, K방산 텃밭 노린다…'국가 주도 패키지'로 판도 흔들어</t>
        </is>
      </c>
      <c r="C71" t="inlineStr">
        <is>
          <t>http://www.srtimes.kr/news/articleView.html?idxno=203841</t>
        </is>
      </c>
      <c r="D71" t="inlineStr">
        <is>
          <t>Sat, 23 May 2026 10:00:00 +0900</t>
        </is>
      </c>
      <c r="E71">
        <f>HYPERLINK("https://cdn.srtimes.kr/news/thumbnail/202605/203841_208414_2450_v150.jpg", IMAGE("https://cdn.srtimes.kr/news/thumbnail/202605/203841_208414_2450_v150.jpg"))</f>
        <v/>
      </c>
    </row>
    <row r="72">
      <c r="A72" t="n">
        <v>71</v>
      </c>
      <c r="B72" t="inlineStr">
        <is>
          <t>'현대重 단골고객' 필리핀 해군 노리는 日…'방산 한일전' 가능성</t>
        </is>
      </c>
      <c r="C72" t="inlineStr">
        <is>
          <t>https://news.mtn.co.kr/news-detail/2026051917503113175</t>
        </is>
      </c>
      <c r="D72" t="inlineStr">
        <is>
          <t>Tue, 19 May 2026 17:56:00 +0900</t>
        </is>
      </c>
      <c r="E72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73">
      <c r="A73" t="n">
        <v>72</v>
      </c>
      <c r="B73" t="inlineStr">
        <is>
          <t>한화, KAI 경영참여 공식화...찬반 의견은 엇갈려</t>
        </is>
      </c>
      <c r="C73" t="inlineStr">
        <is>
          <t>https://n.news.naver.com/mnews/article/031/0001027882?sid=101</t>
        </is>
      </c>
      <c r="D73" t="inlineStr">
        <is>
          <t>Tue, 12 May 2026 08:20:00 +0900</t>
        </is>
      </c>
      <c r="E73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74">
      <c r="A74" t="n">
        <v>73</v>
      </c>
      <c r="B74" t="inlineStr">
        <is>
          <t>드론 위협 관리하는 미·중…비행규제만 하는 한국</t>
        </is>
      </c>
      <c r="C74" t="inlineStr">
        <is>
          <t>http://www.newstomato.com/ReadNews.aspx?no=1300486&amp;inflow=N</t>
        </is>
      </c>
      <c r="D74" t="inlineStr">
        <is>
          <t>Mon, 11 May 2026 15:46:00 +0900</t>
        </is>
      </c>
      <c r="E74">
        <f>HYPERLINK("https://image.newstomato.com/newsimg/2026/5/11/1300486/attach.jpg?v=202605111556", IMAGE("https://image.newstomato.com/newsimg/2026/5/11/1300486/attach.jpg?v=202605111556"))</f>
        <v/>
      </c>
    </row>
    <row r="75">
      <c r="A75" t="n">
        <v>74</v>
      </c>
      <c r="B75" t="inlineStr">
        <is>
          <t>한화, 체급 키워 방산 ‘글로벌 톱10’ 노린다</t>
        </is>
      </c>
      <c r="C75" t="inlineStr">
        <is>
          <t>https://n.news.naver.com/mnews/article/016/0002641645?sid=101</t>
        </is>
      </c>
      <c r="D75" t="inlineStr">
        <is>
          <t>Mon, 11 May 2026 11:54:00 +0900</t>
        </is>
      </c>
      <c r="E75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76">
      <c r="A76" t="n">
        <v>75</v>
      </c>
      <c r="B76" t="inlineStr">
        <is>
          <t>한화 '경영참여'에 불붙는 'KAI 인수설'…&amp;quot;스페이스X냐 독과점이냐&amp;quot;</t>
        </is>
      </c>
      <c r="C76" t="inlineStr">
        <is>
          <t>https://n.news.naver.com/mnews/article/421/0008935178?sid=101</t>
        </is>
      </c>
      <c r="D76" t="inlineStr">
        <is>
          <t>Sun, 10 May 2026 07:30:00 +0900</t>
        </is>
      </c>
      <c r="E76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77">
      <c r="A77" t="n">
        <v>76</v>
      </c>
      <c r="B77" t="inlineStr">
        <is>
          <t>방산 빅딜설 중심에 선 한화…“독점 논쟁 소모적, 체급 키워 세계 무대...</t>
        </is>
      </c>
      <c r="C77" t="inlineStr">
        <is>
          <t>https://n.news.naver.com/mnews/article/016/0002640984?sid=101</t>
        </is>
      </c>
      <c r="D77" t="inlineStr">
        <is>
          <t>Sat, 09 May 2026 07:30:00 +0900</t>
        </is>
      </c>
      <c r="E77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78">
      <c r="A78" t="n">
        <v>77</v>
      </c>
      <c r="B78" t="inlineStr">
        <is>
          <t>[초점] 한화 &amp;quot;통합 방산기업&amp;quot; 야심에…KAI 내부 강한 반발 왜</t>
        </is>
      </c>
      <c r="C78" t="inlineStr">
        <is>
          <t>http://www.newswatch.kr/news/articleView.html?idxno=79614</t>
        </is>
      </c>
      <c r="D78" t="inlineStr">
        <is>
          <t>Thu, 07 May 2026 16:58:00 +0900</t>
        </is>
      </c>
      <c r="E78">
        <f>HYPERLINK("https://cdn.newswatch.kr/news/thumbnail/202605/79614_85479_4430_v150.jpg", IMAGE("https://cdn.newswatch.kr/news/thumbnail/202605/79614_85479_4430_v150.jpg"))</f>
        <v/>
      </c>
    </row>
    <row r="79">
      <c r="A79" t="n">
        <v>78</v>
      </c>
      <c r="B79" t="inlineStr">
        <is>
          <t>일본 ‘살상무기 수출’ 60년 빗장 해제… K-해양방산 ‘진검승부’ 예...</t>
        </is>
      </c>
      <c r="C79" t="inlineStr">
        <is>
          <t>https://www.kukinews.com/article/view/kuk202605060160</t>
        </is>
      </c>
      <c r="D79" t="inlineStr">
        <is>
          <t>Thu, 07 May 2026 06:02:00 +0900</t>
        </is>
      </c>
      <c r="E79" t="inlineStr">
        <is>
          <t>이미지 없음</t>
        </is>
      </c>
    </row>
    <row r="80">
      <c r="A80" t="n">
        <v>79</v>
      </c>
      <c r="B80" t="inlineStr">
        <is>
          <t>'한국판 BAE' 현실화하나…한화가 쏘아올린 통합 방산회사 출범 신호탄</t>
        </is>
      </c>
      <c r="C80" t="inlineStr">
        <is>
          <t>https://news.mtn.co.kr/news-detail/2026050614582776801</t>
        </is>
      </c>
      <c r="D80" t="inlineStr">
        <is>
          <t>Wed, 06 May 2026 15:02:00 +0900</t>
        </is>
      </c>
      <c r="E80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81">
      <c r="A81" t="n">
        <v>80</v>
      </c>
      <c r="B81" t="inlineStr">
        <is>
          <t>미 조선 협력 본격화…기자재 '원산지 입증'이 새 변수</t>
        </is>
      </c>
      <c r="C81" t="inlineStr">
        <is>
          <t>https://www.m-i.kr/news/articleView.html?idxno=1369861</t>
        </is>
      </c>
      <c r="D81" t="inlineStr">
        <is>
          <t>Tue, 05 May 2026 11:30:00 +0900</t>
        </is>
      </c>
      <c r="E81">
        <f>HYPERLINK("https://cdn.m-i.kr/news/thumbnail/202605/1369861_1156625_5843_v150.jpg", IMAGE("https://cdn.m-i.kr/news/thumbnail/202605/1369861_1156625_5843_v150.jpg"))</f>
        <v/>
      </c>
    </row>
    <row r="82">
      <c r="A82" t="n">
        <v>81</v>
      </c>
      <c r="B82" t="inlineStr">
        <is>
          <t>얼음 해쳐 '북극 항로' 뚫는 쇄빙선…'K-방산'에도 기회 요인?</t>
        </is>
      </c>
      <c r="C82" t="inlineStr">
        <is>
          <t>https://n.news.naver.com/mnews/article/421/0008923272?sid=100</t>
        </is>
      </c>
      <c r="D82" t="inlineStr">
        <is>
          <t>Sat, 02 May 2026 06:00:00 +0900</t>
        </is>
      </c>
      <c r="E82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83">
      <c r="A83" t="n">
        <v>82</v>
      </c>
      <c r="B83" t="inlineStr">
        <is>
          <t>[K방산, 미래 조준]③현대무기 대형화 불가피…韓방산 '설계'에 달렸다</t>
        </is>
      </c>
      <c r="C83" t="inlineStr">
        <is>
          <t>https://n.news.naver.com/mnews/article/277/0005757193?sid=101</t>
        </is>
      </c>
      <c r="D83" t="inlineStr">
        <is>
          <t>Thu, 30 Apr 2026 11:24:00 +0900</t>
        </is>
      </c>
      <c r="E83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84">
      <c r="A84" t="n">
        <v>83</v>
      </c>
      <c r="B84" t="inlineStr">
        <is>
          <t>“한·일 함정 분야 경쟁 가능성”</t>
        </is>
      </c>
      <c r="C84" t="inlineStr">
        <is>
          <t>https://n.news.naver.com/mnews/article/016/0002636450?sid=101</t>
        </is>
      </c>
      <c r="D84" t="inlineStr">
        <is>
          <t>Tue, 28 Apr 2026 11:28:00 +0900</t>
        </is>
      </c>
      <c r="E84">
        <f>HYPERLINK("https://ssl.pstatic.net/static.news/image/news/ogtag/navernews_800x420_20221201.jpg", IMAGE("https://ssl.pstatic.net/static.news/image/news/ogtag/navernews_800x420_20221201.jpg"))</f>
        <v/>
      </c>
    </row>
    <row r="85">
      <c r="A85" t="n">
        <v>84</v>
      </c>
      <c r="B85" t="inlineStr">
        <is>
          <t>'AI·MUM-T' 핵심 기술 놓고 머리 맞댔다···전북대-한화시스템 협력 시...</t>
        </is>
      </c>
      <c r="C85" t="inlineStr">
        <is>
          <t>http://www.enewstoday.co.kr/news/articleView.html?idxno=2423794</t>
        </is>
      </c>
      <c r="D85" t="inlineStr">
        <is>
          <t>Mon, 27 Apr 2026 17:33:00 +0900</t>
        </is>
      </c>
      <c r="E85">
        <f>HYPERLINK("https://cdn.enewstoday.co.kr/news/thumbnail/202604/2423794_1257408_3245_v150.jpg", IMAGE("https://cdn.enewstoday.co.kr/news/thumbnail/202604/2423794_1257408_3245_v150.jpg"))</f>
        <v/>
      </c>
    </row>
    <row r="86">
      <c r="A86" t="n">
        <v>85</v>
      </c>
      <c r="B86" t="inlineStr">
        <is>
          <t>전북대·한화시스템, 첨단 방산기술 협력 본격화</t>
        </is>
      </c>
      <c r="C86" t="inlineStr">
        <is>
          <t>https://n.news.naver.com/mnews/article/003/0013912488?sid=102</t>
        </is>
      </c>
      <c r="D86" t="inlineStr">
        <is>
          <t>Mon, 27 Apr 2026 16:11:00 +0900</t>
        </is>
      </c>
      <c r="E86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87">
      <c r="A87" t="n">
        <v>86</v>
      </c>
      <c r="B87" t="inlineStr">
        <is>
          <t>전북대-한화시스템, 첨단 방산기술 협력 본격화</t>
        </is>
      </c>
      <c r="C87" t="inlineStr">
        <is>
          <t>https://www.kyosu.net/news/articleView.html?idxno=204918</t>
        </is>
      </c>
      <c r="D87" t="inlineStr">
        <is>
          <t>Mon, 27 Apr 2026 15:58:00 +0900</t>
        </is>
      </c>
      <c r="E87">
        <f>HYPERLINK("https://cdn.kyosu.net/news/photo/202604/204918_205281_5653.jpg", IMAGE("https://cdn.kyosu.net/news/photo/202604/204918_205281_5653.jpg"))</f>
        <v/>
      </c>
    </row>
    <row r="88">
      <c r="A88" t="n">
        <v>87</v>
      </c>
      <c r="B88" t="inlineStr">
        <is>
          <t>전북대-한화시스템, 첨단 방산기술 협력 본격화…교수진-임원진 기술교...</t>
        </is>
      </c>
      <c r="C88" t="inlineStr">
        <is>
          <t>https://n.news.naver.com/mnews/article/030/0003422061?sid=102</t>
        </is>
      </c>
      <c r="D88" t="inlineStr">
        <is>
          <t>Mon, 27 Apr 2026 15:24:00 +0900</t>
        </is>
      </c>
      <c r="E88">
        <f>HYPERLINK("https://imgnews.pstatic.net/image/030/2026/04/27/0003422061_001_20260427152412782.jpg?type=w800", IMAGE("https://imgnews.pstatic.net/image/030/2026/04/27/0003422061_001_20260427152412782.jpg?type=w800"))</f>
        <v/>
      </c>
    </row>
    <row r="89">
      <c r="A89" t="n">
        <v>88</v>
      </c>
      <c r="B89" t="inlineStr">
        <is>
          <t>전북대-한화시스템 첨단 방산기술 협력 본격화</t>
        </is>
      </c>
      <c r="C89" t="inlineStr">
        <is>
          <t>https://www.veritas-a.com/news/articleView.html?idxno=607576</t>
        </is>
      </c>
      <c r="D89" t="inlineStr">
        <is>
          <t>Mon, 27 Apr 2026 15:18:00 +0900</t>
        </is>
      </c>
      <c r="E89">
        <f>HYPERLINK("https://cdn.veritas-a.com/news/thumbnail/202604/607576_520922_1639_v150.jpg", IMAGE("https://cdn.veritas-a.com/news/thumbnail/202604/607576_520922_1639_v150.jpg"))</f>
        <v/>
      </c>
    </row>
    <row r="90">
      <c r="A90" t="n">
        <v>89</v>
      </c>
      <c r="B90" t="inlineStr">
        <is>
          <t>15조 美 해군 훈련기 사업, 결국 '미국산 규정'에 막혔다</t>
        </is>
      </c>
      <c r="C90" t="inlineStr">
        <is>
          <t>http://www.enewstoday.co.kr/news/articleView.html?idxno=2423678</t>
        </is>
      </c>
      <c r="D90" t="inlineStr">
        <is>
          <t>Mon, 27 Apr 2026 15:02:00 +0900</t>
        </is>
      </c>
      <c r="E90">
        <f>HYPERLINK("https://cdn.enewstoday.co.kr/news/thumbnail/202604/2423678_1257282_447_v150.jpg", IMAGE("https://cdn.enewstoday.co.kr/news/thumbnail/202604/2423678_1257282_447_v150.jpg"))</f>
        <v/>
      </c>
    </row>
    <row r="91">
      <c r="A91" t="n">
        <v>90</v>
      </c>
      <c r="B91" t="inlineStr">
        <is>
          <t>日 살상무기 수출 해제에 K방산 위협?…“함정 분야는 경쟁 가능성” [...</t>
        </is>
      </c>
      <c r="C91" t="inlineStr">
        <is>
          <t>https://n.news.naver.com/mnews/article/016/0002635127?sid=101</t>
        </is>
      </c>
      <c r="D91" t="inlineStr">
        <is>
          <t>Sat, 25 Apr 2026 07:01:00 +0900</t>
        </is>
      </c>
      <c r="E91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92">
      <c r="A92" t="n">
        <v>91</v>
      </c>
      <c r="B92" t="inlineStr">
        <is>
          <t>&amp;quot;쪼개 팔면 경쟁력 상실&amp;quot; KAI 분할매각론, 현실성·실익 의문</t>
        </is>
      </c>
      <c r="C92" t="inlineStr">
        <is>
          <t>https://www.m-i.kr/news/articleView.html?idxno=1367119</t>
        </is>
      </c>
      <c r="D92" t="inlineStr">
        <is>
          <t>Thu, 23 Apr 2026 14:26:00 +0900</t>
        </is>
      </c>
      <c r="E92">
        <f>HYPERLINK("https://cdn.m-i.kr/news/thumbnail/202604/1367119_1153735_1415_v150.jpg", IMAGE("https://cdn.m-i.kr/news/thumbnail/202604/1367119_1153735_1415_v150.jpg"))</f>
        <v/>
      </c>
    </row>
    <row r="93">
      <c r="A93" t="n">
        <v>92</v>
      </c>
      <c r="B93" t="inlineStr">
        <is>
          <t>트럼프 'NATO' 탈퇴 위협···유럽 자력화 가속에 'K방산' 역할 커지나</t>
        </is>
      </c>
      <c r="C93" t="inlineStr">
        <is>
          <t>http://www.enewstoday.co.kr/news/articleView.html?idxno=2420829</t>
        </is>
      </c>
      <c r="D93" t="inlineStr">
        <is>
          <t>Tue, 21 Apr 2026 08:00:00 +0900</t>
        </is>
      </c>
      <c r="E93">
        <f>HYPERLINK("https://cdn.enewstoday.co.kr/news/thumbnail/202604/2420829_1254079_189_v150.jpg", IMAGE("https://cdn.enewstoday.co.kr/news/thumbnail/202604/2420829_1254079_189_v150.jpg"))</f>
        <v/>
      </c>
    </row>
    <row r="94">
      <c r="A94" t="n">
        <v>93</v>
      </c>
      <c r="B94" t="inlineStr">
        <is>
          <t>한화·삼성, 美 해군 ‘혈관’ 설계한다…NGLS 수주로 마스가 본게임 ‘...</t>
        </is>
      </c>
      <c r="C94" t="inlineStr">
        <is>
          <t>https://www.kukinews.com/article/view/kuk202604200181</t>
        </is>
      </c>
      <c r="D94" t="inlineStr">
        <is>
          <t>Tue, 21 Apr 2026 06:02:00 +0900</t>
        </is>
      </c>
      <c r="E94" t="inlineStr">
        <is>
          <t>이미지 없음</t>
        </is>
      </c>
    </row>
    <row r="95">
      <c r="A95" t="n">
        <v>94</v>
      </c>
      <c r="B95" t="inlineStr">
        <is>
          <t>K조선, 미 해군 MRO 잇따라 수주…마스가 협력 ‘가속’</t>
        </is>
      </c>
      <c r="C95" t="inlineStr">
        <is>
          <t>http://www.newstomato.com/ReadNews.aspx?no=1298412&amp;inflow=N</t>
        </is>
      </c>
      <c r="D95" t="inlineStr">
        <is>
          <t>Mon, 20 Apr 2026 15:02:00 +0900</t>
        </is>
      </c>
      <c r="E95">
        <f>HYPERLINK("https://image.newstomato.com/newsimg/2026/4/20/1298412/attach.jpg?v=202604211549", IMAGE("https://image.newstomato.com/newsimg/2026/4/20/1298412/attach.jpg?v=202604211549"))</f>
        <v/>
      </c>
    </row>
    <row r="96">
      <c r="A96" t="n">
        <v>95</v>
      </c>
      <c r="B96" t="inlineStr">
        <is>
          <t>갈 길 먼 K드론...부품·소재 자체 공급망? K표준화부터</t>
        </is>
      </c>
      <c r="C96" t="inlineStr">
        <is>
          <t>https://n.news.naver.com/mnews/article/024/0000104881?sid=101</t>
        </is>
      </c>
      <c r="D96" t="inlineStr">
        <is>
          <t>Fri, 17 Apr 2026 21:01:00 +0900</t>
        </is>
      </c>
      <c r="E96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97">
      <c r="A97" t="n">
        <v>96</v>
      </c>
      <c r="B97" t="inlineStr">
        <is>
          <t>‘K드론’ 소프트웨어는 자립 가능, 그러나…</t>
        </is>
      </c>
      <c r="C97" t="inlineStr">
        <is>
          <t>https://n.news.naver.com/mnews/article/024/0000104851?sid=101</t>
        </is>
      </c>
      <c r="D97" t="inlineStr">
        <is>
          <t>Thu, 16 Apr 2026 21:01:00 +0900</t>
        </is>
      </c>
      <c r="E97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98">
      <c r="A98" t="n">
        <v>97</v>
      </c>
      <c r="B98" t="inlineStr">
        <is>
          <t>“한국형 팔란티어 나오려면” 지재권·전력화 보장이 관건 [K-방산, 그...</t>
        </is>
      </c>
      <c r="C98" t="inlineStr">
        <is>
          <t>https://www.etoday.co.kr/news/view/2575581</t>
        </is>
      </c>
      <c r="D98" t="inlineStr">
        <is>
          <t>Thu, 16 Apr 2026 05:02:00 +0900</t>
        </is>
      </c>
      <c r="E98">
        <f>HYPERLINK("https://img.etoday.co.kr/pto_db/2026/04/20260415162002_2322127_913_401.jpg", IMAGE("https://img.etoday.co.kr/pto_db/2026/04/20260415162002_2322127_913_401.jpg"))</f>
        <v/>
      </c>
    </row>
    <row r="99">
      <c r="A99" t="n">
        <v>98</v>
      </c>
      <c r="B99" t="inlineStr">
        <is>
          <t>K-방산 강국으로의 도약, &amp;quot;첨단 복합소재 공급망 자립 최우선 과제&amp;quot;</t>
        </is>
      </c>
      <c r="C99" t="inlineStr">
        <is>
          <t>http://www.jjn.co.kr/news/articleView.html?idxno=1038170</t>
        </is>
      </c>
      <c r="D99" t="inlineStr">
        <is>
          <t>Tue, 14 Apr 2026 17:30:00 +0900</t>
        </is>
      </c>
      <c r="E99">
        <f>HYPERLINK("https://cdn.jjn.co.kr/news/thumbnail/202604/1038170_263476_2948_v150.jpg", IMAGE("https://cdn.jjn.co.kr/news/thumbnail/202604/1038170_263476_2948_v150.jpg"))</f>
        <v/>
      </c>
    </row>
    <row r="100">
      <c r="A100" t="n">
        <v>99</v>
      </c>
      <c r="B100" t="inlineStr">
        <is>
          <t>K-방산 강국 도약, &amp;quot;국방 첨단 복합소재 공급망 내재화해야&amp;quot;</t>
        </is>
      </c>
      <c r="C100" t="inlineStr">
        <is>
          <t>http://www.jeollailbo.com/news/articleView.html?idxno=797541</t>
        </is>
      </c>
      <c r="D100" t="inlineStr">
        <is>
          <t>Tue, 14 Apr 2026 17:30:00 +0900</t>
        </is>
      </c>
      <c r="E100">
        <f>HYPERLINK("https://cdn.jeollailbo.com/news/thumbnail/202604/797541_185388_1449_v150.jpg", IMAGE("https://cdn.jeollailbo.com/news/thumbnail/202604/797541_185388_1449_v150.jpg"))</f>
        <v/>
      </c>
    </row>
    <row r="101">
      <c r="A101" t="n">
        <v>100</v>
      </c>
      <c r="B101" t="inlineStr">
        <is>
          <t>“K-방산 강국 도약 위해 첨단 복합소재 공급망 자립 최우선 과제”</t>
        </is>
      </c>
      <c r="C101" t="inlineStr">
        <is>
          <t>https://n.news.naver.com/mnews/article/030/0003417816?sid=102</t>
        </is>
      </c>
      <c r="D101" t="inlineStr">
        <is>
          <t>Tue, 14 Apr 2026 17:07:00 +0900</t>
        </is>
      </c>
      <c r="E101">
        <f>HYPERLINK("https://imgnews.pstatic.net/image/030/2026/04/14/0003417816_001_20260414170712500.jpg?type=w800", IMAGE("https://imgnews.pstatic.net/image/030/2026/04/14/0003417816_001_20260414170712500.jpg?type=w800"))</f>
        <v/>
      </c>
    </row>
    <row r="102">
      <c r="A102" t="n">
        <v>101</v>
      </c>
      <c r="B102" t="inlineStr">
        <is>
          <t>한화의 방산 퍼즐 맞추기…KAI 지분 확보·풍산 인수 무산 속 전략은</t>
        </is>
      </c>
      <c r="C102" t="inlineStr">
        <is>
          <t>https://www.smarttoday.co.kr/ko-kr/articles/106484</t>
        </is>
      </c>
      <c r="D102" t="inlineStr">
        <is>
          <t>Tue, 14 Apr 2026 16:11:00 +0900</t>
        </is>
      </c>
      <c r="E102" t="inlineStr">
        <is>
          <t>이미지 없음</t>
        </is>
      </c>
    </row>
    <row r="103">
      <c r="A103" t="n">
        <v>102</v>
      </c>
      <c r="B103" t="inlineStr">
        <is>
          <t>“K-방산 경쟁력 좌우 첨단복합소재 내재화 가속 시급”</t>
        </is>
      </c>
      <c r="C103" t="inlineStr">
        <is>
          <t>http://amenews.kr/news/view.php?idx=66331</t>
        </is>
      </c>
      <c r="D103" t="inlineStr">
        <is>
          <t>Tue, 14 Apr 2026 15:54:00 +0900</t>
        </is>
      </c>
      <c r="E103">
        <f>HYPERLINK("http://amenews.kr/data/cheditor4/2604/3554368046_Jb5WKZYk_001.jpg", IMAGE("http://amenews.kr/data/cheditor4/2604/3554368046_Jb5WKZYk_001.jpg"))</f>
        <v/>
      </c>
    </row>
    <row r="104">
      <c r="A104" t="n">
        <v>103</v>
      </c>
      <c r="B104" t="inlineStr">
        <is>
          <t>첨단 복합소재 공급망 자립 K-방산 강국 도약 최우선 과제</t>
        </is>
      </c>
      <c r="C104" t="inlineStr">
        <is>
          <t>https://n.news.naver.com/mnews/article/119/0003080479?sid=101</t>
        </is>
      </c>
      <c r="D104" t="inlineStr">
        <is>
          <t>Tue, 14 Apr 2026 14:33:00 +0900</t>
        </is>
      </c>
      <c r="E104">
        <f>HYPERLINK("https://imgnews.pstatic.net/image/119/2026/04/14/0003080479_001_20260414143308903.jpg?type=w800", IMAGE("https://imgnews.pstatic.net/image/119/2026/04/14/0003080479_001_20260414143308903.jpg?type=w800"))</f>
        <v/>
      </c>
    </row>
    <row r="105">
      <c r="A105" t="n">
        <v>104</v>
      </c>
      <c r="B105" t="inlineStr">
        <is>
          <t>걸프국, 천궁Ⅱ 맹활약에 방공전력 '脫美' 가속</t>
        </is>
      </c>
      <c r="C105" t="inlineStr">
        <is>
          <t>http://www.hansbiz.co.kr/news/articleView.html?idxno=832512</t>
        </is>
      </c>
      <c r="D105" t="inlineStr">
        <is>
          <t>Mon, 13 Apr 2026 17:22:00 +0900</t>
        </is>
      </c>
      <c r="E105">
        <f>HYPERLINK("https://cdn.hansbiz.co.kr/news/thumbnail/202604/832512_841252_248_v150.jpg", IMAGE("https://cdn.hansbiz.co.kr/news/thumbnail/202604/832512_841252_248_v150.jpg"))</f>
        <v/>
      </c>
    </row>
    <row r="106">
      <c r="A106" t="n">
        <v>105</v>
      </c>
      <c r="B106" t="inlineStr">
        <is>
          <t>대한항공, '무인기 시대' 게임체인저 노린다</t>
        </is>
      </c>
      <c r="C106" t="inlineStr">
        <is>
          <t>https://www.ntoday.co.kr/news/articleView.html?idxno=126464</t>
        </is>
      </c>
      <c r="D106" t="inlineStr">
        <is>
          <t>Fri, 10 Apr 2026 17:00:00 +0900</t>
        </is>
      </c>
      <c r="E106">
        <f>HYPERLINK("https://cdn.ntoday.co.kr/news/thumbnail/202604/126464_110528_1132_v150.jpg", IMAGE("https://cdn.ntoday.co.kr/news/thumbnail/202604/126464_110528_1132_v150.jpg"))</f>
        <v/>
      </c>
    </row>
    <row r="107">
      <c r="A107" t="n">
        <v>106</v>
      </c>
      <c r="B107" t="inlineStr">
        <is>
          <t>한화, 풍산 탄약사업부 인수...득과 실은?</t>
        </is>
      </c>
      <c r="C107" t="inlineStr">
        <is>
          <t>http://www.hansbiz.co.kr/news/articleView.html?idxno=831575</t>
        </is>
      </c>
      <c r="D107" t="inlineStr">
        <is>
          <t>Thu, 09 Apr 2026 07:00:00 +0900</t>
        </is>
      </c>
      <c r="E107">
        <f>HYPERLINK("https://cdn.hansbiz.co.kr/news/thumbnail/202604/831575_839875_1833_v150.jpg", IMAGE("https://cdn.hansbiz.co.kr/news/thumbnail/202604/831575_839875_1833_v150.jpg"))</f>
        <v/>
      </c>
    </row>
    <row r="108">
      <c r="A108" t="n">
        <v>107</v>
      </c>
      <c r="B108" t="inlineStr">
        <is>
          <t>한화에어로, 풍산 탄약사업부 인수 추진⋯포·탄 패키지 전략</t>
        </is>
      </c>
      <c r="C108" t="inlineStr">
        <is>
          <t>https://n.news.naver.com/mnews/article/031/0001020040?sid=101</t>
        </is>
      </c>
      <c r="D108" t="inlineStr">
        <is>
          <t>Mon, 06 Apr 2026 18:25:00 +0900</t>
        </is>
      </c>
      <c r="E108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09">
      <c r="A109" t="n">
        <v>108</v>
      </c>
      <c r="B109" t="inlineStr">
        <is>
          <t>한화에어로 풍산 탄약사업 매각 '단독 입찰', 성사는 정부와 풍산 소액...</t>
        </is>
      </c>
      <c r="C109" t="inlineStr">
        <is>
          <t>https://www.businesspost.co.kr/BP?command=article_view&amp;num=435054</t>
        </is>
      </c>
      <c r="D109" t="inlineStr">
        <is>
          <t>Mon, 06 Apr 2026 16:30:00 +0900</t>
        </is>
      </c>
      <c r="E109" t="inlineStr">
        <is>
          <t>이미지 없음</t>
        </is>
      </c>
    </row>
    <row r="110">
      <c r="A110" t="n">
        <v>109</v>
      </c>
      <c r="B110" t="inlineStr">
        <is>
          <t>한화, ‘포·탄’ 시너지에 풍산 탄약 품나…방산 생태계 독주 본격화</t>
        </is>
      </c>
      <c r="C110" t="inlineStr">
        <is>
          <t>https://www.etoday.co.kr/news/view/2573034</t>
        </is>
      </c>
      <c r="D110" t="inlineStr">
        <is>
          <t>Mon, 06 Apr 2026 16:18:00 +0900</t>
        </is>
      </c>
      <c r="E110">
        <f>HYPERLINK("https://img.etoday.co.kr/pto_db/2026/04/20260406161152_2318138_1199_621.jpg", IMAGE("https://img.etoday.co.kr/pto_db/2026/04/20260406161152_2318138_1199_621.jpg"))</f>
        <v/>
      </c>
    </row>
    <row r="111">
      <c r="A111" t="n">
        <v>110</v>
      </c>
      <c r="B111" t="inlineStr">
        <is>
          <t>'천궁-Ⅱ', 중동서 실전 검증...美 독점 구조 바뀌나</t>
        </is>
      </c>
      <c r="C111" t="inlineStr">
        <is>
          <t>http://www.hansbiz.co.kr/news/articleView.html?idxno=830334</t>
        </is>
      </c>
      <c r="D111" t="inlineStr">
        <is>
          <t>Mon, 06 Apr 2026 06:30:00 +0900</t>
        </is>
      </c>
      <c r="E111">
        <f>HYPERLINK("https://cdn.hansbiz.co.kr/news/thumbnail/202604/830334_837980_2628_v150.jpg", IMAGE("https://cdn.hansbiz.co.kr/news/thumbnail/202604/830334_837980_2628_v150.jpg"))</f>
        <v/>
      </c>
    </row>
    <row r="112">
      <c r="A112" t="n">
        <v>111</v>
      </c>
      <c r="B112" t="inlineStr">
        <is>
          <t>KF-21 날았지만 KAI는 ‘구조 시험대’…민영화 불씨 재점화</t>
        </is>
      </c>
      <c r="C112" t="inlineStr">
        <is>
          <t>https://www.kukinews.com/article/view/kuk202604020177</t>
        </is>
      </c>
      <c r="D112" t="inlineStr">
        <is>
          <t>Fri, 03 Apr 2026 06:02:00 +0900</t>
        </is>
      </c>
      <c r="E112" t="inlineStr">
        <is>
          <t>이미지 없음</t>
        </is>
      </c>
    </row>
    <row r="113">
      <c r="A113" t="n">
        <v>112</v>
      </c>
      <c r="B113" t="inlineStr">
        <is>
          <t>佛 방산기업 탈레스, 카이스트·전북대 장학금 지원</t>
        </is>
      </c>
      <c r="C113" t="inlineStr">
        <is>
          <t>https://n.news.naver.com/mnews/article/016/0002623635?sid=101</t>
        </is>
      </c>
      <c r="D113" t="inlineStr">
        <is>
          <t>Thu, 02 Apr 2026 11:16:00 +0900</t>
        </is>
      </c>
      <c r="E113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14">
      <c r="A114" t="n">
        <v>113</v>
      </c>
      <c r="B114" t="inlineStr">
        <is>
          <t>커지는 방산시장, 높아지는 장벽…&amp;quot;현지화 없인 수출 없다&amp;quot;</t>
        </is>
      </c>
      <c r="C114" t="inlineStr">
        <is>
          <t>https://www.ajunews.com/view/20260401154708093</t>
        </is>
      </c>
      <c r="D114" t="inlineStr">
        <is>
          <t>Thu, 02 Apr 2026 05:02:00 +0900</t>
        </is>
      </c>
      <c r="E114">
        <f>HYPERLINK("https://image.ajunews.com/content/image/2026/04/01/20260401162724635722.jpg", IMAGE("https://image.ajunews.com/content/image/2026/04/01/20260401162724635722.jpg"))</f>
        <v/>
      </c>
    </row>
    <row r="115">
      <c r="A115" t="n">
        <v>114</v>
      </c>
      <c r="B115" t="inlineStr">
        <is>
          <t>[단독] 佛 방산기업 탈레스, 카이스트·전북대 장학금 지원…K-인재 유치...</t>
        </is>
      </c>
      <c r="C115" t="inlineStr">
        <is>
          <t>https://n.news.naver.com/mnews/article/016/0002623210?sid=101</t>
        </is>
      </c>
      <c r="D115" t="inlineStr">
        <is>
          <t>Wed, 01 Apr 2026 17:01:00 +0900</t>
        </is>
      </c>
      <c r="E115">
        <f>HYPERLINK("https://imgnews.pstatic.net/image/016/2026/04/01/0002623210_001_20260402224408711.jpg?type=w800", IMAGE("https://imgnews.pstatic.net/image/016/2026/04/01/0002623210_001_20260402224408711.jpg?type=w800"))</f>
        <v/>
      </c>
    </row>
    <row r="116">
      <c r="A116" t="n">
        <v>115</v>
      </c>
      <c r="B116" t="inlineStr">
        <is>
          <t>방산 스타트업 키우는 정부…현장은 생태계·제도 개선 주문[K-방산, 안...</t>
        </is>
      </c>
      <c r="C116" t="inlineStr">
        <is>
          <t>https://www.etoday.co.kr/news/view/2571395</t>
        </is>
      </c>
      <c r="D116" t="inlineStr">
        <is>
          <t>Wed, 01 Apr 2026 15:20:00 +0900</t>
        </is>
      </c>
      <c r="E116">
        <f>HYPERLINK("https://img.etoday.co.kr/pto_db/2026/04/20260401171434_2316308_1200_400.jpg", IMAGE("https://img.etoday.co.kr/pto_db/2026/04/20260401171434_2316308_1200_400.jpg"))</f>
        <v/>
      </c>
    </row>
    <row r="117">
      <c r="A117" t="n">
        <v>116</v>
      </c>
      <c r="B117" t="inlineStr">
        <is>
          <t>KF-21 잡음에도 한·인니 방산 협력 강화…&amp;quot;K-방산 거점 국가&amp;quot;</t>
        </is>
      </c>
      <c r="C117" t="inlineStr">
        <is>
          <t>https://n.news.naver.com/mnews/article/008/0005338374?sid=100</t>
        </is>
      </c>
      <c r="D117" t="inlineStr">
        <is>
          <t>Wed, 01 Apr 2026 15:00:00 +0900</t>
        </is>
      </c>
      <c r="E117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18">
      <c r="A118" t="n">
        <v>117</v>
      </c>
      <c r="B118" t="inlineStr">
        <is>
          <t>인도네시아 대통령 방한…KF-21 협력 재정비 본격화</t>
        </is>
      </c>
      <c r="C118" t="inlineStr">
        <is>
          <t>https://www.m-i.kr/news/articleView.html?idxno=1360208</t>
        </is>
      </c>
      <c r="D118" t="inlineStr">
        <is>
          <t>Tue, 31 Mar 2026 15:04:00 +0900</t>
        </is>
      </c>
      <c r="E118">
        <f>HYPERLINK("https://cdn.m-i.kr/news/thumbnail/202603/1360208_1146405_5919_v150.jpg", IMAGE("https://cdn.m-i.kr/news/thumbnail/202603/1360208_1146405_5919_v150.jpg"))</f>
        <v/>
      </c>
    </row>
    <row r="119">
      <c r="A119" t="n">
        <v>118</v>
      </c>
      <c r="B119" t="inlineStr">
        <is>
          <t>[기획]K-방산 내홍에 사라지는 골든타임…&amp;quot;출혈 경쟁 멈춰야&amp;quot;</t>
        </is>
      </c>
      <c r="C119" t="inlineStr">
        <is>
          <t>https://www.m-i.kr/news/articleView.html?idxno=1359223</t>
        </is>
      </c>
      <c r="D119" t="inlineStr">
        <is>
          <t>Sun, 29 Mar 2026 11:26:00 +0900</t>
        </is>
      </c>
      <c r="E119">
        <f>HYPERLINK("https://cdn.m-i.kr/news/thumbnail/202603/1359223_1145375_5310_v150.jpg", IMAGE("https://cdn.m-i.kr/news/thumbnail/202603/1359223_1145375_5310_v150.jpg"))</f>
        <v/>
      </c>
    </row>
    <row r="120">
      <c r="A120" t="n">
        <v>119</v>
      </c>
      <c r="B120" t="inlineStr">
        <is>
          <t>&amp;quot;경쟁사에 영업비밀 왜 넘기냐&amp;quot;…7.8조 KDDX 사업, 또 공정성 논란</t>
        </is>
      </c>
      <c r="C120" t="inlineStr">
        <is>
          <t>https://n.news.naver.com/mnews/article/025/0003512325?sid=101</t>
        </is>
      </c>
      <c r="D120" t="inlineStr">
        <is>
          <t>Sun, 29 Mar 2026 06:00:00 +0900</t>
        </is>
      </c>
      <c r="E120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21">
      <c r="A121" t="n">
        <v>120</v>
      </c>
      <c r="B121" t="inlineStr">
        <is>
          <t>기본설계(기밀포함?) 공개당한 HD현대…방사청은 &amp;quot;이래야 공정&amp;quot;</t>
        </is>
      </c>
      <c r="C121" t="inlineStr">
        <is>
          <t>https://news.mtn.co.kr/news-detail/2026032716375252491</t>
        </is>
      </c>
      <c r="D121" t="inlineStr">
        <is>
          <t>Fri, 27 Mar 2026 17:48:00 +0900</t>
        </is>
      </c>
      <c r="E121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22">
      <c r="A122" t="n">
        <v>121</v>
      </c>
      <c r="B122" t="inlineStr">
        <is>
          <t>AI·드론 시대 맞아 ‘첨단전력 획득절차’ 달라진다</t>
        </is>
      </c>
      <c r="C122" t="inlineStr">
        <is>
          <t>https://www.news2day.co.kr/article/20260326500334</t>
        </is>
      </c>
      <c r="D122" t="inlineStr">
        <is>
          <t>Thu, 26 Mar 2026 21:26:00 +0900</t>
        </is>
      </c>
      <c r="E122">
        <f>HYPERLINK("https://cdn.news2day.co.kr/data2/content/image/2026/03/26/.cache/512/20260326500333.png", IMAGE("https://cdn.news2day.co.kr/data2/content/image/2026/03/26/.cache/512/20260326500333.png"))</f>
        <v/>
      </c>
    </row>
    <row r="123">
      <c r="A123" t="n">
        <v>122</v>
      </c>
      <c r="B123" t="inlineStr">
        <is>
          <t>임무 중심·민간 참여·성능 향상 가속화 등 논의</t>
        </is>
      </c>
      <c r="C123" t="inlineStr">
        <is>
          <t>https://kookbang.dema.mil.kr/newsWeb/20260327/5/ATCE_CTGR_0010010000/view.do</t>
        </is>
      </c>
      <c r="D123" t="inlineStr">
        <is>
          <t>Thu, 26 Mar 2026 17:24:00 +0900</t>
        </is>
      </c>
      <c r="E123" t="inlineStr">
        <is>
          <t>이미지 없음</t>
        </is>
      </c>
    </row>
    <row r="124">
      <c r="A124" t="n">
        <v>123</v>
      </c>
      <c r="B124" t="inlineStr">
        <is>
          <t>부승찬·강선영 의원 공동주최 'K-방산 지속성장 전략' 세미나 성료</t>
        </is>
      </c>
      <c r="C124" t="inlineStr">
        <is>
          <t>https://n.news.naver.com/mnews/article/002/0002433611?sid=102</t>
        </is>
      </c>
      <c r="D124" t="inlineStr">
        <is>
          <t>Wed, 25 Mar 2026 17:07:00 +0900</t>
        </is>
      </c>
      <c r="E124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25">
      <c r="A125" t="n">
        <v>124</v>
      </c>
      <c r="B125" t="inlineStr">
        <is>
          <t>&amp;quot;K-방산, 규제혁신 없인 지속성장 어렵다&amp;quot;…국회 세미나서 제도 개선 한...</t>
        </is>
      </c>
      <c r="C125" t="inlineStr">
        <is>
          <t>https://www.straightnews.co.kr/news/articleView.html?idxno=298422</t>
        </is>
      </c>
      <c r="D125" t="inlineStr">
        <is>
          <t>Wed, 25 Mar 2026 09:26:00 +0900</t>
        </is>
      </c>
      <c r="E125">
        <f>HYPERLINK("https://cdn.straightnews.co.kr/news/thumbnail/202603/298422_207325_235_v150.jpg", IMAGE("https://cdn.straightnews.co.kr/news/thumbnail/202603/298422_207325_235_v150.jpg"))</f>
        <v/>
      </c>
    </row>
    <row r="126">
      <c r="A126" t="n">
        <v>125</v>
      </c>
      <c r="B126" t="inlineStr">
        <is>
          <t>[현장] K-방산 지속 성장, '글로벌 규제 대응'에 달렸다…&amp;quot;정부 원팀 지...</t>
        </is>
      </c>
      <c r="C126" t="inlineStr">
        <is>
          <t>http://www.newsian.co.kr/news/articleView.html?idxno=87644</t>
        </is>
      </c>
      <c r="D126" t="inlineStr">
        <is>
          <t>Tue, 24 Mar 2026 19:16:00 +0900</t>
        </is>
      </c>
      <c r="E126">
        <f>HYPERLINK("https://cdn.newsian.co.kr/news/thumbnail/202603/87644_79544_1228_v150.jpg", IMAGE("https://cdn.newsian.co.kr/news/thumbnail/202603/87644_79544_1228_v150.jpg"))</f>
        <v/>
      </c>
    </row>
    <row r="127">
      <c r="A127" t="n">
        <v>126</v>
      </c>
      <c r="B127" t="inlineStr">
        <is>
          <t>마스가 참여하려면 ‘보안 인증’ 필수…“협력업체까지 대비해야”</t>
        </is>
      </c>
      <c r="C127" t="inlineStr">
        <is>
          <t>http://www.newstomato.com/ReadNews.aspx?no=1295369&amp;inflow=N</t>
        </is>
      </c>
      <c r="D127" t="inlineStr">
        <is>
          <t>Tue, 24 Mar 2026 16:50:00 +0900</t>
        </is>
      </c>
      <c r="E127" t="inlineStr">
        <is>
          <t>이미지 없음</t>
        </is>
      </c>
    </row>
    <row r="128">
      <c r="A128" t="n">
        <v>127</v>
      </c>
      <c r="B128" t="inlineStr">
        <is>
          <t>‘100년 성역’ 깬 트럼프의 존스법 유예… K-조선 기회인가 신기루인가</t>
        </is>
      </c>
      <c r="C128" t="inlineStr">
        <is>
          <t>https://www.kukinews.com/article/view/kuk202603190170</t>
        </is>
      </c>
      <c r="D128" t="inlineStr">
        <is>
          <t>Thu, 19 Mar 2026 17:12:00 +0900</t>
        </is>
      </c>
      <c r="E128" t="inlineStr">
        <is>
          <t>이미지 없음</t>
        </is>
      </c>
    </row>
    <row r="129">
      <c r="A129" t="n">
        <v>128</v>
      </c>
      <c r="B129" t="inlineStr">
        <is>
          <t>김종출號 KAI 출범…'경영 안정·수주 확대' 드라이브 건다</t>
        </is>
      </c>
      <c r="C129" t="inlineStr">
        <is>
          <t>https://www.asiatoday.co.kr/view.php?key=20260319010005913</t>
        </is>
      </c>
      <c r="D129" t="inlineStr">
        <is>
          <t>Thu, 19 Mar 2026 15:58:00 +0900</t>
        </is>
      </c>
      <c r="E129">
        <f>HYPERLINK("https://img.asiatoday.co.kr/file/2026y/03m/20d/2026031901001078600059131.jpg", IMAGE("https://img.asiatoday.co.kr/file/2026y/03m/20d/2026031901001078600059131.jpg"))</f>
        <v/>
      </c>
    </row>
    <row r="130">
      <c r="A130" t="n">
        <v>129</v>
      </c>
      <c r="B130" t="inlineStr">
        <is>
          <t>[2026어젠다] 화력보다 '속도'…22년 조달 장벽 깬 미국</t>
        </is>
      </c>
      <c r="C130" t="inlineStr">
        <is>
          <t>https://n.news.naver.com/mnews/article/417/0001134633?sid=104</t>
        </is>
      </c>
      <c r="D130" t="inlineStr">
        <is>
          <t>Wed, 18 Mar 2026 06:00:00 +0900</t>
        </is>
      </c>
      <c r="E130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31">
      <c r="A131" t="n">
        <v>130</v>
      </c>
      <c r="B131" t="inlineStr">
        <is>
          <t>K-방산, 'NATO 무기 공급 세계 2위' 공식 등극…서방 군수 공급망 편입</t>
        </is>
      </c>
      <c r="C131" t="inlineStr">
        <is>
          <t>https://www.m-i.kr/news/articleView.html?idxno=1351596</t>
        </is>
      </c>
      <c r="D131" t="inlineStr">
        <is>
          <t>Tue, 17 Mar 2026 15:00:00 +0900</t>
        </is>
      </c>
      <c r="E131">
        <f>HYPERLINK("https://cdn.m-i.kr/news/thumbnail/202603/1351596_1136361_472_v150.jpg", IMAGE("https://cdn.m-i.kr/news/thumbnail/202603/1351596_1136361_472_v150.jpg"))</f>
        <v/>
      </c>
    </row>
    <row r="132">
      <c r="A132" t="n">
        <v>131</v>
      </c>
      <c r="B132" t="inlineStr">
        <is>
          <t>한화, KAI 지분 7년 만에 재매입…&amp;quot;방산·우주항공 협력 강화&amp;quot;</t>
        </is>
      </c>
      <c r="C132" t="inlineStr">
        <is>
          <t>https://news.mtn.co.kr/news-detail/2026031609273027275</t>
        </is>
      </c>
      <c r="D132" t="inlineStr">
        <is>
          <t>Mon, 16 Mar 2026 10:14:00 +0900</t>
        </is>
      </c>
      <c r="E132">
        <f>HYPERLINK("https://menu.mtn.co.kr/upload/article/2026/03/16/2026031609273027275_00_819.jpg", IMAGE("https://menu.mtn.co.kr/upload/article/2026/03/16/2026031609273027275_00_819.jpg"))</f>
        <v/>
      </c>
    </row>
    <row r="133">
      <c r="A133" t="n">
        <v>132</v>
      </c>
      <c r="B133" t="inlineStr">
        <is>
          <t>‘첩첩산중’ 무주가 우주 기지로… “거대 산봉우리들이 자연 방호벽”</t>
        </is>
      </c>
      <c r="C133" t="inlineStr">
        <is>
          <t>https://n.news.naver.com/mnews/article/023/0003964275?sid=102</t>
        </is>
      </c>
      <c r="D133" t="inlineStr">
        <is>
          <t>Fri, 13 Mar 2026 00:46:00 +0900</t>
        </is>
      </c>
      <c r="E133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34">
      <c r="A134" t="n">
        <v>133</v>
      </c>
      <c r="B134" t="inlineStr">
        <is>
          <t>개청 20년 방사청…‘K-방산 르네상스’ 넘어 글로벌 톱4 안착하려면</t>
        </is>
      </c>
      <c r="C134" t="inlineStr">
        <is>
          <t>https://www.kukinews.com/article/view/kuk202603120062</t>
        </is>
      </c>
      <c r="D134" t="inlineStr">
        <is>
          <t>Thu, 12 Mar 2026 14:16:00 +0900</t>
        </is>
      </c>
      <c r="E134" t="inlineStr">
        <is>
          <t>이미지 없음</t>
        </is>
      </c>
    </row>
    <row r="135">
      <c r="A135" t="n">
        <v>134</v>
      </c>
      <c r="B135" t="inlineStr">
        <is>
          <t>천궁 다음은 한국형 사드? 중동에 팔 신무기 '착착' 나온다</t>
        </is>
      </c>
      <c r="C135" t="inlineStr">
        <is>
          <t>https://www.ajunews.com/view/20260310153628801</t>
        </is>
      </c>
      <c r="D135" t="inlineStr">
        <is>
          <t>Tue, 10 Mar 2026 18:06:00 +0900</t>
        </is>
      </c>
      <c r="E135">
        <f>HYPERLINK("https://image.ajunews.com/content/image/2026/03/10/20260310160412635766.jpg", IMAGE("https://image.ajunews.com/content/image/2026/03/10/20260310160412635766.jpg"))</f>
        <v/>
      </c>
    </row>
    <row r="136">
      <c r="A136" t="n">
        <v>135</v>
      </c>
      <c r="B136" t="inlineStr">
        <is>
          <t>K-방산, 올해 수출 승부처 점검…대형 사업 향방</t>
        </is>
      </c>
      <c r="C136" t="inlineStr">
        <is>
          <t>https://www.m-i.kr/news/articleView.html?idxno=1344768</t>
        </is>
      </c>
      <c r="D136" t="inlineStr">
        <is>
          <t>Tue, 10 Mar 2026 15:46:00 +0900</t>
        </is>
      </c>
      <c r="E136">
        <f>HYPERLINK("https://cdn.m-i.kr/news/thumbnail/202603/1344768_1129699_124_v150.jpg", IMAGE("https://cdn.m-i.kr/news/thumbnail/202603/1344768_1129699_124_v150.jpg"))</f>
        <v/>
      </c>
    </row>
    <row r="137">
      <c r="A137" t="n">
        <v>136</v>
      </c>
      <c r="B137" t="inlineStr">
        <is>
          <t>[미국·이란 전쟁] 드론 군단에 최첨단 방공망 '무용지물'</t>
        </is>
      </c>
      <c r="C137" t="inlineStr">
        <is>
          <t>https://n.news.naver.com/mnews/article/417/0001132298?sid=101</t>
        </is>
      </c>
      <c r="D137" t="inlineStr">
        <is>
          <t>Tue, 03 Mar 2026 14:44:00 +0900</t>
        </is>
      </c>
      <c r="E137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38">
      <c r="A138" t="n">
        <v>137</v>
      </c>
      <c r="B138" t="inlineStr">
        <is>
          <t>한국형 차기 구축함 사업자 7월에 선정</t>
        </is>
      </c>
      <c r="C138" t="inlineStr">
        <is>
          <t>https://n.news.naver.com/mnews/article/056/0012133540?sid=100</t>
        </is>
      </c>
      <c r="D138" t="inlineStr">
        <is>
          <t>Mon, 02 Mar 2026 08:12:00 +0900</t>
        </is>
      </c>
      <c r="E138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39">
      <c r="A139" t="n">
        <v>138</v>
      </c>
      <c r="B139" t="inlineStr">
        <is>
          <t>한국형 차기 구축함 사업자 7월에 선정</t>
        </is>
      </c>
      <c r="C139" t="inlineStr">
        <is>
          <t>https://n.news.naver.com/mnews/article/056/0012133530?sid=100</t>
        </is>
      </c>
      <c r="D139" t="inlineStr">
        <is>
          <t>Mon, 02 Mar 2026 07:35:00 +0900</t>
        </is>
      </c>
      <c r="E139">
        <f>HYPERLINK("https://imgnews.pstatic.net/image/056/2026/03/02/0012133530_001_20260302085427536.jpg?type=w800", IMAGE("https://imgnews.pstatic.net/image/056/2026/03/02/0012133530_001_20260302085427536.jpg?type=w800"))</f>
        <v/>
      </c>
    </row>
    <row r="140">
      <c r="A140" t="n">
        <v>139</v>
      </c>
      <c r="B140" t="inlineStr">
        <is>
          <t>한국형 차기 구축함 사업자 7월에 선정</t>
        </is>
      </c>
      <c r="C140" t="inlineStr">
        <is>
          <t>https://n.news.naver.com/mnews/article/056/0012133398?sid=100</t>
        </is>
      </c>
      <c r="D140" t="inlineStr">
        <is>
          <t>Sun, 01 Mar 2026 22:11:00 +0900</t>
        </is>
      </c>
      <c r="E140">
        <f>HYPERLINK("https://imgnews.pstatic.net/image/056/2026/03/01/0012133398_001_20260301223017493.jpg?type=w800", IMAGE("https://imgnews.pstatic.net/image/056/2026/03/01/0012133398_001_20260301223017493.jpg?type=w800"))</f>
        <v/>
      </c>
    </row>
    <row r="141">
      <c r="A141" t="n">
        <v>140</v>
      </c>
      <c r="B141" t="inlineStr">
        <is>
          <t>[오주석의 이심戰심] 드론 시대에도 헬기는 죽지 않는다</t>
        </is>
      </c>
      <c r="C141" t="inlineStr">
        <is>
          <t>https://www.ajunews.com/view/20260227150934536</t>
        </is>
      </c>
      <c r="D141" t="inlineStr">
        <is>
          <t>Fri, 27 Feb 2026 16:42:00 +0900</t>
        </is>
      </c>
      <c r="E141">
        <f>HYPERLINK("https://image.ajunews.com/content/image/2026/02/27/20260227162415390430.jpg", IMAGE("https://image.ajunews.com/content/image/2026/02/27/20260227162415390430.jpg"))</f>
        <v/>
      </c>
    </row>
    <row r="142">
      <c r="A142" t="n">
        <v>141</v>
      </c>
      <c r="B142" t="inlineStr">
        <is>
          <t>노조 반발에 KAI 사장 인선 불발…리더십 공백 장기화</t>
        </is>
      </c>
      <c r="C142" t="inlineStr">
        <is>
          <t>https://news.mtn.co.kr/news-detail/2026022611002311032</t>
        </is>
      </c>
      <c r="D142" t="inlineStr">
        <is>
          <t>Thu, 26 Feb 2026 11:20:00 +0900</t>
        </is>
      </c>
      <c r="E142">
        <f>HYPERLINK("https://menu.mtn.co.kr/upload/article/2026/02/26/2026022611002311032_00_737.jpg", IMAGE("https://menu.mtn.co.kr/upload/article/2026/02/26/2026022611002311032_00_737.jpg"))</f>
        <v/>
      </c>
    </row>
    <row r="143">
      <c r="A143" t="n">
        <v>142</v>
      </c>
      <c r="B143" t="inlineStr">
        <is>
          <t>'수장 공백’ 장기화 불가피…KAI, 조직 안정·사업 재정비 ‘차질’</t>
        </is>
      </c>
      <c r="C143" t="inlineStr">
        <is>
          <t>https://www.asiatoday.co.kr/view.php?key=20260225010007559</t>
        </is>
      </c>
      <c r="D143" t="inlineStr">
        <is>
          <t>Wed, 25 Feb 2026 16:44:00 +0900</t>
        </is>
      </c>
      <c r="E143">
        <f>HYPERLINK("https://img.asiatoday.co.kr/file/2026y/02m/26d/2026022501001382200075591.jpg", IMAGE("https://img.asiatoday.co.kr/file/2026y/02m/26d/2026022501001382200075591.jpg"))</f>
        <v/>
      </c>
    </row>
    <row r="144">
      <c r="A144" t="n">
        <v>143</v>
      </c>
      <c r="B144" t="inlineStr">
        <is>
          <t>방산 ‘빅4’ 영업익 ‘4조 시대’ 개막… 올해도 성장 기대↑</t>
        </is>
      </c>
      <c r="C144" t="inlineStr">
        <is>
          <t>https://www.smarttoday.co.kr/ko-kr/articles/103440</t>
        </is>
      </c>
      <c r="D144" t="inlineStr">
        <is>
          <t>Thu, 19 Feb 2026 15:20:00 +0900</t>
        </is>
      </c>
      <c r="E144" t="inlineStr">
        <is>
          <t>이미지 없음</t>
        </is>
      </c>
    </row>
    <row r="145">
      <c r="A145" t="n">
        <v>144</v>
      </c>
      <c r="B145" t="inlineStr">
        <is>
          <t>수출이 실적 견인… K-방산 4사, 내수→글로벌로 체질 전환</t>
        </is>
      </c>
      <c r="C145" t="inlineStr">
        <is>
          <t>http://www.newsdream.kr/news/articleView.html?idxno=107410</t>
        </is>
      </c>
      <c r="D145" t="inlineStr">
        <is>
          <t>Tue, 10 Feb 2026 16:38:00 +0900</t>
        </is>
      </c>
      <c r="E145">
        <f>HYPERLINK("https://cdn.newsdream.kr/news/thumbnail/202602/107410_79602_318_v150.jpg", IMAGE("https://cdn.newsdream.kr/news/thumbnail/202602/107410_79602_318_v150.jpg"))</f>
        <v/>
      </c>
    </row>
    <row r="146">
      <c r="A146" t="n">
        <v>145</v>
      </c>
      <c r="B146" t="inlineStr">
        <is>
          <t>韓 방산현장 직관한 加장관… &amp;quot;미래 온 듯&amp;quot; 기술력에 '엄지척'</t>
        </is>
      </c>
      <c r="C146" t="inlineStr">
        <is>
          <t>https://www.asiatoday.co.kr/view.php?key=20260205010001719</t>
        </is>
      </c>
      <c r="D146" t="inlineStr">
        <is>
          <t>Wed, 04 Feb 2026 17:56:00 +0900</t>
        </is>
      </c>
      <c r="E146" t="inlineStr">
        <is>
          <t>이미지 없음</t>
        </is>
      </c>
    </row>
    <row r="147">
      <c r="A147" t="n">
        <v>146</v>
      </c>
      <c r="B147" t="inlineStr">
        <is>
          <t>60조 캐나다 잠수함 수주전···'나토 동맹' 변수되나</t>
        </is>
      </c>
      <c r="C147" t="inlineStr">
        <is>
          <t>http://www.enewstoday.co.kr/news/articleView.html?idxno=2389503</t>
        </is>
      </c>
      <c r="D147" t="inlineStr">
        <is>
          <t>Tue, 03 Feb 2026 08:00:00 +0900</t>
        </is>
      </c>
      <c r="E147">
        <f>HYPERLINK("https://cdn.enewstoday.co.kr/news/thumbnail/202602/2389503_1219270_4041_v150.jpg", IMAGE("https://cdn.enewstoday.co.kr/news/thumbnail/202602/2389503_1219270_4041_v150.jpg"))</f>
        <v/>
      </c>
    </row>
    <row r="148">
      <c r="A148" t="n">
        <v>147</v>
      </c>
      <c r="B148" t="inlineStr">
        <is>
          <t>캐나다로 간 정의선·김동관…불붙은 잠수함 수주 경쟁에 마침표 찍을까</t>
        </is>
      </c>
      <c r="C148" t="inlineStr">
        <is>
          <t>https://www.financialpost.co.kr/news/articleView.html?idxno=245902</t>
        </is>
      </c>
      <c r="D148" t="inlineStr">
        <is>
          <t>Thu, 29 Jan 2026 05:00:00 +0900</t>
        </is>
      </c>
      <c r="E148">
        <f>HYPERLINK("https://cdn.financialpost.co.kr/news/thumbnail/202601/245902_293444_3931_v150.jpg", IMAGE("https://cdn.financialpost.co.kr/news/thumbnail/202601/245902_293444_3931_v150.jpg"))</f>
        <v/>
      </c>
    </row>
    <row r="149">
      <c r="A149" t="n">
        <v>148</v>
      </c>
      <c r="B149" t="inlineStr">
        <is>
          <t>곧 전장 뛰어들 피지컬 AI…“자율전투로 기술난제 극복”</t>
        </is>
      </c>
      <c r="C149" t="inlineStr">
        <is>
          <t>https://n.news.naver.com/mnews/article/011/0004603882?sid=100</t>
        </is>
      </c>
      <c r="D149" t="inlineStr">
        <is>
          <t>Thu, 26 Mar 2026 17:46:00 +0900</t>
        </is>
      </c>
      <c r="E149">
        <f>HYPERLINK("https://imgnews.pstatic.net/image/011/2026/03/26/0004603882_001_20260326233246007.jpg?type=w800", IMAGE("https://imgnews.pstatic.net/image/011/2026/03/26/0004603882_001_20260326233246007.jpg?type=w800"))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전쟁은 '생산능력'이다 : 미국의 무기 부족이 던지는 경고[기고]</t>
        </is>
      </c>
      <c r="C3" t="inlineStr">
        <is>
          <t>https://news.mtn.co.kr/news-detail/2026042014032324372</t>
        </is>
      </c>
      <c r="D3" t="inlineStr">
        <is>
          <t>Mon, 20 Apr 2026 14:12:00 +0900</t>
        </is>
      </c>
      <c r="E3">
        <f>HYPERLINK("https://menu.mtn.co.kr/upload/article/2026/04/20/2026042014032324372_00_777.jpg", IMAGE("https://menu.mtn.co.kr/upload/article/2026/04/20/2026042014032324372_00_777.jpg"))</f>
        <v/>
      </c>
    </row>
    <row r="4">
      <c r="A4" t="n">
        <v>3</v>
      </c>
      <c r="B4" t="inlineStr">
        <is>
          <t>첨단항공엔진, 지금 시작하지 않으면 골든타임 놓친다 [기고]</t>
        </is>
      </c>
      <c r="C4" t="inlineStr">
        <is>
          <t>https://news.mtn.co.kr/news-detail/2026033015455091764</t>
        </is>
      </c>
      <c r="D4" t="inlineStr">
        <is>
          <t>Mon, 30 Mar 2026 15:52:00 +0900</t>
        </is>
      </c>
      <c r="E4">
        <f>HYPERLINK("https://menu.mtn.co.kr/upload/article/2026/03/30/2026033015455091764_00_861.jpg", IMAGE("https://menu.mtn.co.kr/upload/article/2026/03/30/2026033015455091764_00_861.jpg"))</f>
        <v/>
      </c>
    </row>
    <row r="5">
      <c r="A5" t="n">
        <v>4</v>
      </c>
      <c r="B5" t="inlineStr">
        <is>
          <t>[특별기고·전북대 장원준 교수] AI·첨단기술 기반 ‘스마트 강군’ 육...</t>
        </is>
      </c>
      <c r="C5" t="inlineStr">
        <is>
          <t>https://kookbang.dema.mil.kr/newsWeb/20260309/3/ATCE_CTGR_0020040016/view.do</t>
        </is>
      </c>
      <c r="D5" t="inlineStr">
        <is>
          <t>Mon, 09 Mar 2026 15:56:00 +0900</t>
        </is>
      </c>
      <c r="E5" t="inlineStr">
        <is>
          <t>이미지 없음</t>
        </is>
      </c>
    </row>
    <row r="6">
      <c r="A6" t="n">
        <v>5</v>
      </c>
      <c r="B6" t="inlineStr">
        <is>
          <t>[기고] K방산 롱런의 조건 '현지 생산'</t>
        </is>
      </c>
      <c r="C6" t="inlineStr">
        <is>
          <t>https://n.news.naver.com/mnews/article/009/0005646852?sid=110</t>
        </is>
      </c>
      <c r="D6" t="inlineStr">
        <is>
          <t>Sun, 08 Mar 2026 17:19:00 +0900</t>
        </is>
      </c>
      <c r="E6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7">
      <c r="A7" t="n">
        <v>6</v>
      </c>
      <c r="B7" t="inlineStr">
        <is>
          <t>가성비 전쟁 시대, 한국은 준비됐나 [기고]</t>
        </is>
      </c>
      <c r="C7" t="inlineStr">
        <is>
          <t>https://news.mtn.co.kr/news-detail/2026030610261598884</t>
        </is>
      </c>
      <c r="D7" t="inlineStr">
        <is>
          <t>Fri, 06 Mar 2026 10:46:00 +0900</t>
        </is>
      </c>
      <c r="E7">
        <f>HYPERLINK("https://menu.mtn.co.kr/upload/article/2026/03/06/2026030610261598884_00_643.jpg", IMAGE("https://menu.mtn.co.kr/upload/article/2026/03/06/2026030610261598884_00_643.jpg"))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2026-06-02T18:35:33Z</dcterms:created>
  <dcterms:modified xsi:type="dcterms:W3CDTF">2026-06-02T18:35:33Z</dcterms:modified>
</cp:coreProperties>
</file>