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우크라이나 외교 마찰이 반증한 K방산 위상…'납기·대량생산' 주목</t>
        </is>
      </c>
      <c r="C19" t="inlineStr">
        <is>
          <t>https://www.insightkorea.co.kr/news/articleView.html?idxno=255802</t>
        </is>
      </c>
      <c r="D19" t="inlineStr">
        <is>
          <t>Fri, 02 Oct 2026 15:04:00 +0900</t>
        </is>
      </c>
      <c r="E19">
        <f>HYPERLINK("https://cdn.insightkorea.co.kr/news/thumbnail/202610/255802_267829_4146_v150.jpg", IMAGE("https://cdn.insightkorea.co.kr/news/thumbnail/202610/255802_267829_4146_v150.jpg"))</f>
        <v/>
      </c>
    </row>
    <row r="20">
      <c r="A20" t="n">
        <v>19</v>
      </c>
      <c r="B20" t="inlineStr">
        <is>
          <t>J방산, 정부 지원 업고… K방산 텃밭 노린다</t>
        </is>
      </c>
      <c r="C20" t="inlineStr">
        <is>
          <t>https://n.news.naver.com/mnews/article/023/0004001645?sid=101</t>
        </is>
      </c>
      <c r="D20" t="inlineStr">
        <is>
          <t>Fri, 02 Oct 2026 00:34:00 +0900</t>
        </is>
      </c>
      <c r="E20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1">
      <c r="A21" t="n">
        <v>20</v>
      </c>
      <c r="B21" t="inlineStr">
        <is>
          <t>황명선 의원, 신안보 혁신기업 육성 대토론회' 개최</t>
        </is>
      </c>
      <c r="C21" t="inlineStr">
        <is>
          <t>https://www.newstnt.com/news/articleView.html?idxno=720942</t>
        </is>
      </c>
      <c r="D21" t="inlineStr">
        <is>
          <t>Thu, 01 Oct 2026 00:30:00 +0900</t>
        </is>
      </c>
      <c r="E21">
        <f>HYPERLINK("https://cdn.newstnt.com/news/photo/202609/720942_724769_5844.png", IMAGE("https://cdn.newstnt.com/news/photo/202609/720942_724769_5844.png"))</f>
        <v/>
      </c>
    </row>
    <row r="22">
      <c r="A22" t="n">
        <v>21</v>
      </c>
      <c r="B22" t="inlineStr">
        <is>
          <t>K-방산, 대기업 넘어 생태계로…실증·구매·정책금융 잇는다</t>
        </is>
      </c>
      <c r="C22" t="inlineStr">
        <is>
          <t>http://www.newstomato.com/ReadNews.aspx?no=1315259&amp;inflow=N</t>
        </is>
      </c>
      <c r="D22" t="inlineStr">
        <is>
          <t>Wed, 30 Sep 2026 16:34:00 +0900</t>
        </is>
      </c>
      <c r="E22">
        <f>HYPERLINK("https://image.newstomato.com/newsimg/2026/9/30/1315259/attach.jpg?v=202609301631", IMAGE("https://image.newstomato.com/newsimg/2026/9/30/1315259/attach.jpg?v=202609301631"))</f>
        <v/>
      </c>
    </row>
    <row r="23">
      <c r="A23" t="n">
        <v>22</v>
      </c>
      <c r="B23" t="inlineStr">
        <is>
          <t>[방산 이슈 진단 (156)] 국방첨단전력법, 하위 법령에서 ‘권한·예산·...</t>
        </is>
      </c>
      <c r="C23" t="inlineStr">
        <is>
          <t>https://www.news2day.co.kr/article/20260929500296</t>
        </is>
      </c>
      <c r="D23" t="inlineStr">
        <is>
          <t>Tue, 29 Sep 2026 17:18:00 +0900</t>
        </is>
      </c>
      <c r="E23">
        <f>HYPERLINK("https://cdn.news2day.co.kr/data2/content/image/2026/09/29/.cache/512/20260929500295.png", IMAGE("https://cdn.news2day.co.kr/data2/content/image/2026/09/29/.cache/512/20260929500295.png"))</f>
        <v/>
      </c>
    </row>
    <row r="24">
      <c r="A24" t="n">
        <v>23</v>
      </c>
      <c r="B24" t="inlineStr">
        <is>
          <t>생산부터 정비까지…K-방산, 전장 밖으로 넓어지는 AX</t>
        </is>
      </c>
      <c r="C24" t="inlineStr">
        <is>
          <t>https://www.g-enews.com/view.php?ud=202609231520348026ea14faf6f5_1</t>
        </is>
      </c>
      <c r="D24" t="inlineStr">
        <is>
          <t>Fri, 25 Sep 2026 09:02:00 +0900</t>
        </is>
      </c>
      <c r="E24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5">
      <c r="A25" t="n">
        <v>24</v>
      </c>
      <c r="B25" t="inlineStr">
        <is>
          <t>美 지상·해양 방산사업 핵심축 '한화디펜스USA'…현지화 속도</t>
        </is>
      </c>
      <c r="C25" t="inlineStr">
        <is>
          <t>https://news.mtn.co.kr/news-detail/2026092216533024563</t>
        </is>
      </c>
      <c r="D25" t="inlineStr">
        <is>
          <t>Tue, 22 Sep 2026 17:50:00 +0900</t>
        </is>
      </c>
      <c r="E25">
        <f>HYPERLINK("https://menu.mtn.co.kr/upload/article/2026/09/22/2026092216533024563_00_228.jpg", IMAGE("https://menu.mtn.co.kr/upload/article/2026/09/22/2026092216533024563_00_228.jpg"))</f>
        <v/>
      </c>
    </row>
    <row r="26">
      <c r="A26" t="n">
        <v>25</v>
      </c>
      <c r="B26" t="inlineStr">
        <is>
          <t>전북대, 방산기업 15곳과 맞춤형 인재양성 프로그램 운영</t>
        </is>
      </c>
      <c r="C26" t="inlineStr">
        <is>
          <t>https://n.news.naver.com/mnews/article/003/0014200391?sid=102</t>
        </is>
      </c>
      <c r="D26" t="inlineStr">
        <is>
          <t>Fri, 18 Sep 2026 16:41:00 +0900</t>
        </is>
      </c>
      <c r="E26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7">
      <c r="A27" t="n">
        <v>26</v>
      </c>
      <c r="B27" t="inlineStr">
        <is>
          <t>첨단 드론 잇단 추락…방산 ‘무인 경쟁력’ 우려 확대</t>
        </is>
      </c>
      <c r="C27" t="inlineStr">
        <is>
          <t>http://www.newstomato.com/ReadNews.aspx?no=1314054&amp;inflow=N</t>
        </is>
      </c>
      <c r="D27" t="inlineStr">
        <is>
          <t>Thu, 17 Sep 2026 15:00:00 +0900</t>
        </is>
      </c>
      <c r="E27">
        <f>HYPERLINK("https://image.newstomato.com/newsimg/2026/9/17/1314054/attach.jpg?v=202609180945", IMAGE("https://image.newstomato.com/newsimg/2026/9/17/1314054/attach.jpg?v=202609180945"))</f>
        <v/>
      </c>
    </row>
    <row r="28">
      <c r="A28" t="n">
        <v>27</v>
      </c>
      <c r="B28" t="inlineStr">
        <is>
          <t>&amp;quot;민주당 맹목적 지지 벗어나 전북발전 성과 요구하자&amp;quot;…오창환 전북대 ...</t>
        </is>
      </c>
      <c r="C28" t="inlineStr">
        <is>
          <t>https://n.news.naver.com/mnews/article/002/0002457143?sid=102</t>
        </is>
      </c>
      <c r="D28" t="inlineStr">
        <is>
          <t>Thu, 17 Sep 2026 11:00:00 +0900</t>
        </is>
      </c>
      <c r="E28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9">
      <c r="A29" t="n">
        <v>28</v>
      </c>
      <c r="B29" t="inlineStr">
        <is>
          <t>K방산, 100조 수주에도 점유율 2%…&amp;quot;체급 키워 메인 시장 가야&amp;quot;</t>
        </is>
      </c>
      <c r="C29" t="inlineStr">
        <is>
          <t>https://www.insightkorea.co.kr/news/articleView.html?idxno=254595</t>
        </is>
      </c>
      <c r="D29" t="inlineStr">
        <is>
          <t>Tue, 15 Sep 2026 16:40:00 +0900</t>
        </is>
      </c>
      <c r="E29">
        <f>HYPERLINK("https://cdn.insightkorea.co.kr/news/thumbnail/202609/254595_266314_382_v150.jpg", IMAGE("https://cdn.insightkorea.co.kr/news/thumbnail/202609/254595_266314_382_v150.jpg"))</f>
        <v/>
      </c>
    </row>
    <row r="30">
      <c r="A30" t="n">
        <v>29</v>
      </c>
      <c r="B30" t="inlineStr">
        <is>
          <t>사거리 100㎞, 분당 11발...차세대 K9 자주포의 조건은</t>
        </is>
      </c>
      <c r="C30" t="inlineStr">
        <is>
          <t>https://n.news.naver.com/mnews/article/469/0000953681?sid=100</t>
        </is>
      </c>
      <c r="D30" t="inlineStr">
        <is>
          <t>Sun, 13 Sep 2026 10:00:00 +0900</t>
        </is>
      </c>
      <c r="E30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1">
      <c r="A31" t="n">
        <v>30</v>
      </c>
      <c r="B31" t="inlineStr">
        <is>
          <t>김동관 한화 부회장, 크로아티아도 뚫었다…천무, 6400억 '수주'</t>
        </is>
      </c>
      <c r="C31" t="inlineStr">
        <is>
          <t>https://www.insightkorea.co.kr/news/articleView.html?idxno=254410</t>
        </is>
      </c>
      <c r="D31" t="inlineStr">
        <is>
          <t>Fri, 11 Sep 2026 16:58:00 +0900</t>
        </is>
      </c>
      <c r="E31">
        <f>HYPERLINK("https://cdn.insightkorea.co.kr/news/thumbnail/202609/254410_266038_266_v150.jpg", IMAGE("https://cdn.insightkorea.co.kr/news/thumbnail/202609/254410_266038_266_v150.jpg"))</f>
        <v/>
      </c>
    </row>
    <row r="32">
      <c r="A32" t="n">
        <v>31</v>
      </c>
      <c r="B32" t="inlineStr">
        <is>
          <t>[전북 24시] 전북대ㆍ공군미사일방어사령부, 방공·미사일방어 역량 강...</t>
        </is>
      </c>
      <c r="C32" t="inlineStr">
        <is>
          <t>https://n.news.naver.com/mnews/article/586/0000138022?sid=102</t>
        </is>
      </c>
      <c r="D32" t="inlineStr">
        <is>
          <t>Fri, 11 Sep 2026 16:35:00 +0900</t>
        </is>
      </c>
      <c r="E32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3">
      <c r="A33" t="n">
        <v>32</v>
      </c>
      <c r="B33" t="inlineStr">
        <is>
          <t>전북대·미사일방어사령부, 미래 방공 역량 강화 '맞손'</t>
        </is>
      </c>
      <c r="C33" t="inlineStr">
        <is>
          <t>https://n.news.naver.com/mnews/article/003/0014184908?sid=102</t>
        </is>
      </c>
      <c r="D33" t="inlineStr">
        <is>
          <t>Fri, 11 Sep 2026 14:59:00 +0900</t>
        </is>
      </c>
      <c r="E33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4">
      <c r="A34" t="n">
        <v>33</v>
      </c>
      <c r="B34" t="inlineStr">
        <is>
          <t>전북대 국방산업연구소-공군미사일방어사령부, 국방과학기술 연구·전문...</t>
        </is>
      </c>
      <c r="C34" t="inlineStr">
        <is>
          <t>https://n.news.naver.com/mnews/article/030/0003465967?sid=102</t>
        </is>
      </c>
      <c r="D34" t="inlineStr">
        <is>
          <t>Fri, 11 Sep 2026 14:13:00 +0900</t>
        </is>
      </c>
      <c r="E34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5">
      <c r="A35" t="n">
        <v>34</v>
      </c>
      <c r="B35" t="inlineStr">
        <is>
          <t>13년 만에 다시 태국…한화오션, 함정 수출 사업 재개에 후속 사업 기대</t>
        </is>
      </c>
      <c r="C35" t="inlineStr">
        <is>
          <t>https://www.g-enews.com/view.php?ud=202609091411036783ea14faf6f5_1</t>
        </is>
      </c>
      <c r="D35" t="inlineStr">
        <is>
          <t>Wed, 09 Sep 2026 18:00:00 +0900</t>
        </is>
      </c>
      <c r="E35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6">
      <c r="A36" t="n">
        <v>35</v>
      </c>
      <c r="B36" t="inlineStr">
        <is>
          <t>[기획]수출 늘어난 K-방산, 협력사 지원도 늘렸다</t>
        </is>
      </c>
      <c r="C36" t="inlineStr">
        <is>
          <t>https://www.m-i.kr/news/articleView.html?idxno=1411337</t>
        </is>
      </c>
      <c r="D36" t="inlineStr">
        <is>
          <t>Tue, 08 Sep 2026 15:30:00 +0900</t>
        </is>
      </c>
      <c r="E36">
        <f>HYPERLINK("https://cdn.m-i.kr/news/photo/202609/1411337_1199637_2253.jpg", IMAGE("https://cdn.m-i.kr/news/photo/202609/1411337_1199637_2253.jpg"))</f>
        <v/>
      </c>
    </row>
    <row r="37">
      <c r="A37" t="n">
        <v>36</v>
      </c>
      <c r="B37" t="inlineStr">
        <is>
          <t>양오봉 전북대 총장, ‘전고를 빛낸 사람들 상' 수상</t>
        </is>
      </c>
      <c r="C37" t="inlineStr">
        <is>
          <t>https://sjbnews.com/news/news.php?number=887083</t>
        </is>
      </c>
      <c r="D37" t="inlineStr">
        <is>
          <t>Tue, 08 Sep 2026 00:37:00 +0900</t>
        </is>
      </c>
      <c r="E37">
        <f>HYPERLINK("http://sjbnews.com/data/data_file/thum_887083_202609_0.jpg", IMAGE("http://sjbnews.com/data/data_file/thum_887083_202609_0.jpg"))</f>
        <v/>
      </c>
    </row>
    <row r="38">
      <c r="A38" t="n">
        <v>37</v>
      </c>
      <c r="B38" t="inlineStr">
        <is>
          <t>전차 넘어 항공우주로…현대로템, 종합방산 도약 속도</t>
        </is>
      </c>
      <c r="C38" t="inlineStr">
        <is>
          <t>https://www.g-enews.com/view.php?ud=202609071405515543ea14faf6f5_1</t>
        </is>
      </c>
      <c r="D38" t="inlineStr">
        <is>
          <t>Mon, 07 Sep 2026 19:32:00 +0900</t>
        </is>
      </c>
      <c r="E38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9">
      <c r="A39" t="n">
        <v>38</v>
      </c>
      <c r="B39" t="inlineStr">
        <is>
          <t>한화에어로, 무인차 아리온스멧 군 전력화 시동</t>
        </is>
      </c>
      <c r="C39" t="inlineStr">
        <is>
          <t>https://n.news.naver.com/mnews/article/417/0001157611?sid=101</t>
        </is>
      </c>
      <c r="D39" t="inlineStr">
        <is>
          <t>Mon, 07 Sep 2026 17:46:00 +0900</t>
        </is>
      </c>
      <c r="E39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0">
      <c r="A40" t="n">
        <v>39</v>
      </c>
      <c r="B40" t="inlineStr">
        <is>
          <t>[전북 24시] 전북대, 2027학년도 수시모집 총 3507명 선발</t>
        </is>
      </c>
      <c r="C40" t="inlineStr">
        <is>
          <t>https://n.news.naver.com/mnews/article/586/0000137681?sid=102</t>
        </is>
      </c>
      <c r="D40" t="inlineStr">
        <is>
          <t>Mon, 07 Sep 2026 17:44:00 +0900</t>
        </is>
      </c>
      <c r="E40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1">
      <c r="A41" t="n">
        <v>40</v>
      </c>
      <c r="B41" t="inlineStr">
        <is>
          <t>전북대 계약정원제 활용사업, 2차년도 산학 프로젝트 본격화</t>
        </is>
      </c>
      <c r="C41" t="inlineStr">
        <is>
          <t>https://news.unn.net/news/articleView.html?idxno=597010</t>
        </is>
      </c>
      <c r="D41" t="inlineStr">
        <is>
          <t>Mon, 07 Sep 2026 11:28:00 +0900</t>
        </is>
      </c>
      <c r="E41">
        <f>HYPERLINK("https://cdn.news.unn.net/news/thumbnail/202609/597010_422691_2637_v150.jpg", IMAGE("https://cdn.news.unn.net/news/thumbnail/202609/597010_422691_2637_v150.jpg"))</f>
        <v/>
      </c>
    </row>
    <row r="42">
      <c r="A42" t="n">
        <v>41</v>
      </c>
      <c r="B42" t="inlineStr">
        <is>
          <t>KAI 경영참여 나선 한화…수출 시너지 기대 속 공급망 공정성 우려</t>
        </is>
      </c>
      <c r="C42" t="inlineStr">
        <is>
          <t>https://www.g-enews.com/view.php?ud=202609041512003756ea14faf6f5_1</t>
        </is>
      </c>
      <c r="D42" t="inlineStr">
        <is>
          <t>Sun, 06 Sep 2026 18:26:00 +0900</t>
        </is>
      </c>
      <c r="E42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3">
      <c r="A43" t="n">
        <v>42</v>
      </c>
      <c r="B43" t="inlineStr">
        <is>
          <t>‘과학수도’ 대전에 소부장 특화단지… K방산에 날개 단다</t>
        </is>
      </c>
      <c r="C43" t="inlineStr">
        <is>
          <t>https://n.news.naver.com/mnews/article/021/0002815979?sid=102</t>
        </is>
      </c>
      <c r="D43" t="inlineStr">
        <is>
          <t>Thu, 03 Sep 2026 09:19:00 +0900</t>
        </is>
      </c>
      <c r="E4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4">
      <c r="A44" t="n">
        <v>43</v>
      </c>
      <c r="B44" t="inlineStr">
        <is>
          <t>한화그룹의 KAI 인수 추진 둘러싼 갑론을박, '규모의 경제' vs '경쟁 훼손...</t>
        </is>
      </c>
      <c r="C44" t="inlineStr">
        <is>
          <t>https://www.businesspost.co.kr/BP?command=article_view&amp;num=446243</t>
        </is>
      </c>
      <c r="D44" t="inlineStr">
        <is>
          <t>Wed, 02 Sep 2026 17:44:00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전북대, 거점국립대 패키지 지원 3개교 미선정</t>
        </is>
      </c>
      <c r="C45" t="inlineStr">
        <is>
          <t>https://www.newsfreezone.co.kr/news/articleView.html?idxno=706959</t>
        </is>
      </c>
      <c r="D45" t="inlineStr">
        <is>
          <t>Tue, 01 Sep 2026 20:44:00 +0900</t>
        </is>
      </c>
      <c r="E45">
        <f>HYPERLINK("https://cdn.newsfreezone.co.kr/news/thumbnail/202609/706959_753996_4129_v150.jpg", IMAGE("https://cdn.newsfreezone.co.kr/news/thumbnail/202609/706959_753996_4129_v150.jpg"))</f>
        <v/>
      </c>
    </row>
    <row r="46">
      <c r="A46" t="n">
        <v>45</v>
      </c>
      <c r="B46" t="inlineStr">
        <is>
          <t>지상·미사일·조선 전방위로…한화, 美 방산시장 공략 가속</t>
        </is>
      </c>
      <c r="C46" t="inlineStr">
        <is>
          <t>https://www.g-enews.com/view.php?ud=202608281607092592ea14faf6f5_1</t>
        </is>
      </c>
      <c r="D46" t="inlineStr">
        <is>
          <t>Sun, 30 Aug 2026 17:00:00 +0900</t>
        </is>
      </c>
      <c r="E4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7">
      <c r="A47" t="n">
        <v>46</v>
      </c>
      <c r="B47" t="inlineStr">
        <is>
          <t>&amp;quot;그 어렵다는 미국 시장 문도 열었다&amp;quot; K9 자주포의 역사적 순간들</t>
        </is>
      </c>
      <c r="C47" t="inlineStr">
        <is>
          <t>https://n.news.naver.com/mnews/article/469/0000950861?sid=100</t>
        </is>
      </c>
      <c r="D47" t="inlineStr">
        <is>
          <t>Sat, 29 Aug 2026 10:00:00 +0900</t>
        </is>
      </c>
      <c r="E4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8">
      <c r="A48" t="n">
        <v>47</v>
      </c>
      <c r="B48" t="inlineStr">
        <is>
          <t>[대전 24시] 대전시, '방산 소부장 특화단지 지정' 총력</t>
        </is>
      </c>
      <c r="C48" t="inlineStr">
        <is>
          <t>https://n.news.naver.com/mnews/article/586/0000136760?sid=102</t>
        </is>
      </c>
      <c r="D48" t="inlineStr">
        <is>
          <t>Wed, 26 Aug 2026 10:10:00 +0900</t>
        </is>
      </c>
      <c r="E4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9">
      <c r="A49" t="n">
        <v>48</v>
      </c>
      <c r="B49" t="inlineStr">
        <is>
          <t>대전시-대전 국회의원, '방산소부장 특화단지 유치' 국회 토론회</t>
        </is>
      </c>
      <c r="C49" t="inlineStr">
        <is>
          <t>https://www.goodmorningcc.com/news/articleView.html?idxno=451224</t>
        </is>
      </c>
      <c r="D49" t="inlineStr">
        <is>
          <t>Tue, 25 Aug 2026 19:32:00 +0900</t>
        </is>
      </c>
      <c r="E49">
        <f>HYPERLINK("https://cdn.goodmorningcc.com/news/thumbnail/202608/451224_466459_2226_v150.jpg", IMAGE("https://cdn.goodmorningcc.com/news/thumbnail/202608/451224_466459_2226_v150.jpg"))</f>
        <v/>
      </c>
    </row>
    <row r="50">
      <c r="A50" t="n">
        <v>49</v>
      </c>
      <c r="B50" t="inlineStr">
        <is>
          <t>대전시, 방산 소부장 특화단지 지정 위한 국회 토론회 개최</t>
        </is>
      </c>
      <c r="C50" t="inlineStr">
        <is>
          <t>https://www.ccdn.co.kr/news/articleView.html?idxno=1095671</t>
        </is>
      </c>
      <c r="D50" t="inlineStr">
        <is>
          <t>Tue, 25 Aug 2026 18:23:00 +0900</t>
        </is>
      </c>
      <c r="E50">
        <f>HYPERLINK("https://cdn.ccdn.co.kr/news/thumbnail/202608/1095671_606589_1009_v150.jpg", IMAGE("https://cdn.ccdn.co.kr/news/thumbnail/202608/1095671_606589_1009_v150.jpg"))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 t="inlineStr">
        <is>
          <t>이미지 없음</t>
        </is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대전시, '정부·기업·연구기관 국회에 모였다'... 방산 특화단지 필요...</t>
        </is>
      </c>
      <c r="C57" t="inlineStr">
        <is>
          <t>https://www.newsworker.co.kr/news/articleView.html?idxno=500829</t>
        </is>
      </c>
      <c r="D57" t="inlineStr">
        <is>
          <t>Tue, 25 Aug 2026 17:30:00 +0900</t>
        </is>
      </c>
      <c r="E57">
        <f>HYPERLINK("https://cdn.newsworker.co.kr/news/photo/202608/500829_500910_198.jpg", IMAGE("https://cdn.newsworker.co.kr/news/photo/202608/500829_500910_198.jpg"))</f>
        <v/>
      </c>
    </row>
    <row r="58">
      <c r="A58" t="n">
        <v>57</v>
      </c>
      <c r="B58" t="inlineStr">
        <is>
          <t>[K방산은 어떻게 세계를 뚫었나]①폴란드서 중동 거쳐 미국까지…4년 만...</t>
        </is>
      </c>
      <c r="C58" t="inlineStr">
        <is>
          <t>http://www.newstomato.com/ReadNews.aspx?no=1311286&amp;inflow=N</t>
        </is>
      </c>
      <c r="D58" t="inlineStr">
        <is>
          <t>Tue, 25 Aug 2026 17:20:00 +0900</t>
        </is>
      </c>
      <c r="E58">
        <f>HYPERLINK("https://image.newstomato.com/newsimg/2026/8/25/1311286/attach.jpg?v=202608261503", IMAGE("https://image.newstomato.com/newsimg/2026/8/25/1311286/attach.jpg?v=202608261503"))</f>
        <v/>
      </c>
    </row>
    <row r="59">
      <c r="A59" t="n">
        <v>58</v>
      </c>
      <c r="B59" t="inlineStr">
        <is>
          <t>대전, 방산 소부장 생태계 구축 나선다...국회 토론회서 경쟁력 점검</t>
        </is>
      </c>
      <c r="C59" t="inlineStr">
        <is>
          <t>https://hbnpress.com/news/view/1065597442480538</t>
        </is>
      </c>
      <c r="D59" t="inlineStr">
        <is>
          <t>Tue, 25 Aug 2026 16:34:00 +0900</t>
        </is>
      </c>
      <c r="E59">
        <f>HYPERLINK("https://hbnpress.com/news/data/20260825/p1065597442480538_273_thum.jpg", IMAGE("https://hbnpress.com/news/data/20260825/p1065597442480538_273_thum.jpg"))</f>
        <v/>
      </c>
    </row>
    <row r="60">
      <c r="A60" t="n">
        <v>59</v>
      </c>
      <c r="B60" t="inlineStr">
        <is>
          <t>대전시, 방산 소부장 특화단지 유치전...'공감대 확산' 총력</t>
        </is>
      </c>
      <c r="C60" t="inlineStr">
        <is>
          <t>https://www.newstnt.com/news/articleView.html?idxno=715180</t>
        </is>
      </c>
      <c r="D60" t="inlineStr">
        <is>
          <t>Tue, 25 Aug 2026 16:18:00 +0900</t>
        </is>
      </c>
      <c r="E60">
        <f>HYPERLINK("https://cdn.newstnt.com/news/photo/202608/715180_717908_1554.jpg", IMAGE("https://cdn.newstnt.com/news/photo/202608/715180_717908_1554.jpg"))</f>
        <v/>
      </c>
    </row>
    <row r="61">
      <c r="A61" t="n">
        <v>60</v>
      </c>
      <c r="B61" t="inlineStr">
        <is>
          <t>대전시, 방산 소부장 특화단지 지정 총력전…&amp;quot;국방 역량·과학기술 등 집...</t>
        </is>
      </c>
      <c r="C61" t="inlineStr">
        <is>
          <t>http://www.chungnamilbo.co.kr/news/articleView.html?idxno=905751</t>
        </is>
      </c>
      <c r="D61" t="inlineStr">
        <is>
          <t>Tue, 25 Aug 2026 16:12:00 +0900</t>
        </is>
      </c>
      <c r="E61">
        <f>HYPERLINK("https://cdn.chungnamilbo.co.kr/news/thumbnail/202608/905751_483940_3556_v150.jpg", IMAGE("https://cdn.chungnamilbo.co.kr/news/thumbnail/202608/905751_483940_3556_v150.jpg"))</f>
        <v/>
      </c>
    </row>
    <row r="62">
      <c r="A62" t="n">
        <v>61</v>
      </c>
      <c r="B62" t="inlineStr">
        <is>
          <t>대전, 국방 R&amp;amp;D 도시 넘어 방산 공급망 거점 노린다</t>
        </is>
      </c>
      <c r="C62" t="inlineStr">
        <is>
          <t>http://www.dailypop.kr/news/articleView.html?idxno=101907</t>
        </is>
      </c>
      <c r="D62" t="inlineStr">
        <is>
          <t>Tue, 25 Aug 2026 15:40:00 +0900</t>
        </is>
      </c>
      <c r="E62">
        <f>HYPERLINK("http://www.dailypop.kr/news/thumbnail/202608/101907_169232_1125_v150.jpg", IMAGE("http://www.dailypop.kr/news/thumbnail/202608/101907_169232_1125_v150.jpg"))</f>
        <v/>
      </c>
    </row>
    <row r="63">
      <c r="A63" t="n">
        <v>62</v>
      </c>
      <c r="B63" t="inlineStr">
        <is>
          <t>대전, 국회서 방산 소부장 특화단지 최적지 알려</t>
        </is>
      </c>
      <c r="C63" t="inlineStr">
        <is>
          <t>https://n.news.naver.com/mnews/article/011/0004654970?sid=102</t>
        </is>
      </c>
      <c r="D63" t="inlineStr">
        <is>
          <t>Tue, 25 Aug 2026 15:33:00 +0900</t>
        </is>
      </c>
      <c r="E6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4">
      <c r="A64" t="n">
        <v>63</v>
      </c>
      <c r="B64" t="inlineStr">
        <is>
          <t>“첨단 국방 중심지로”…대전시, 방산 소부장 특화단지 지정 논의 토론...</t>
        </is>
      </c>
      <c r="C64" t="inlineStr">
        <is>
          <t>https://www.sentv.co.kr/article/view/sentv202608250155</t>
        </is>
      </c>
      <c r="D64" t="inlineStr">
        <is>
          <t>Tue, 25 Aug 2026 15:24:00 +0900</t>
        </is>
      </c>
      <c r="E64">
        <f>HYPERLINK("https://www.sentv.co.kr/data/sentv/image/2026/08/25/sentv20260825000143.jpg", IMAGE("https://www.sentv.co.kr/data/sentv/image/2026/08/25/sentv20260825000143.jpg"))</f>
        <v/>
      </c>
    </row>
    <row r="65">
      <c r="A65" t="n">
        <v>64</v>
      </c>
      <c r="B65" t="inlineStr">
        <is>
          <t>대전시, 'K-방산 심장' 정조준…국방 소부장 특화단지 유치 역량 모은다</t>
        </is>
      </c>
      <c r="C65" t="inlineStr">
        <is>
          <t>https://n.news.naver.com/mnews/article/030/0003460160?sid=102</t>
        </is>
      </c>
      <c r="D65" t="inlineStr">
        <is>
          <t>Tue, 25 Aug 2026 14:01:00 +0900</t>
        </is>
      </c>
      <c r="E6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6">
      <c r="A66" t="n">
        <v>65</v>
      </c>
      <c r="B66" t="inlineStr">
        <is>
          <t>한화 K9 자주포, 美 뚫었다… 獨·英 기업 제치고 ‘차륜형’ 수출</t>
        </is>
      </c>
      <c r="C66" t="inlineStr">
        <is>
          <t>https://n.news.naver.com/mnews/article/023/0003993895?sid=101</t>
        </is>
      </c>
      <c r="D66" t="inlineStr">
        <is>
          <t>Thu, 20 Aug 2026 00:47:00 +0900</t>
        </is>
      </c>
      <c r="E66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7">
      <c r="A67" t="n">
        <v>66</v>
      </c>
      <c r="B67" t="inlineStr">
        <is>
          <t>한화, 美 육군 뚫었다…K9 자주포 계약금만 '무려'</t>
        </is>
      </c>
      <c r="C67" t="inlineStr">
        <is>
          <t>https://n.news.naver.com/mnews/article/374/0000528273?sid=101</t>
        </is>
      </c>
      <c r="D67" t="inlineStr">
        <is>
          <t>Wed, 19 Aug 2026 18:28:00 +0900</t>
        </is>
      </c>
      <c r="E6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8">
      <c r="A68" t="n">
        <v>67</v>
      </c>
      <c r="B68" t="inlineStr">
        <is>
          <t>美 '함정 건조' 문 열리나···K조선에 남을 진짜 실익은?</t>
        </is>
      </c>
      <c r="C68" t="inlineStr">
        <is>
          <t>http://www.enewstoday.co.kr/news/articleView.html?idxno=2460421</t>
        </is>
      </c>
      <c r="D68" t="inlineStr">
        <is>
          <t>Wed, 19 Aug 2026 08:00:00 +0900</t>
        </is>
      </c>
      <c r="E68">
        <f>HYPERLINK("https://cdn.enewstoday.co.kr/news/thumbnail/202608/2460421_1301267_1921_v150.jpg", IMAGE("https://cdn.enewstoday.co.kr/news/thumbnail/202608/2460421_1301267_1921_v150.jpg"))</f>
        <v/>
      </c>
    </row>
    <row r="69">
      <c r="A69" t="n">
        <v>68</v>
      </c>
      <c r="B69" t="inlineStr">
        <is>
          <t>‘20조’ 美 함정 MRO 시장⋯ K-조선, 7함대 중심 낙수효과 커진다</t>
        </is>
      </c>
      <c r="C69" t="inlineStr">
        <is>
          <t>https://www.viva100.com/article/20260817500461</t>
        </is>
      </c>
      <c r="D69" t="inlineStr">
        <is>
          <t>Mon, 17 Aug 2026 15:32:00 +0900</t>
        </is>
      </c>
      <c r="E69">
        <f>HYPERLINK("https://stqnq5ux4599.edge.naverncp.com/data2//content/image/2026/08/17/.cache/512/20260817500416.jpg?v=20261004032527", IMAGE("https://stqnq5ux4599.edge.naverncp.com/data2//content/image/2026/08/17/.cache/512/20260817500416.jpg?v=20261004032527"))</f>
        <v/>
      </c>
    </row>
    <row r="70">
      <c r="A70" t="n">
        <v>69</v>
      </c>
      <c r="B70" t="inlineStr">
        <is>
          <t>피라미드 상공까지 열어준 이집트... K9으로 쌓인 신뢰의 무게</t>
        </is>
      </c>
      <c r="C70" t="inlineStr">
        <is>
          <t>https://n.news.naver.com/mnews/article/469/0000948256?sid=100</t>
        </is>
      </c>
      <c r="D70" t="inlineStr">
        <is>
          <t>Sun, 16 Aug 2026 10:00:00 +0900</t>
        </is>
      </c>
      <c r="E7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1">
      <c r="A71" t="n">
        <v>70</v>
      </c>
      <c r="B71" t="inlineStr">
        <is>
          <t>한국서 美 군함 만들 길 열렸다…트럼프, 최대 2척 해외 건조 허용</t>
        </is>
      </c>
      <c r="C71" t="inlineStr">
        <is>
          <t>https://n.news.naver.com/mnews/article/448/0000633625?sid=101</t>
        </is>
      </c>
      <c r="D71" t="inlineStr">
        <is>
          <t>Fri, 14 Aug 2026 21:40:00 +0900</t>
        </is>
      </c>
      <c r="E71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2">
      <c r="A72" t="n">
        <v>71</v>
      </c>
      <c r="B72" t="inlineStr">
        <is>
          <t>한화, KAI 이어 오스탈까지…확대되는 ‘한국판 록히드마틴’ 구상</t>
        </is>
      </c>
      <c r="C72" t="inlineStr">
        <is>
          <t>https://www.g-enews.com/view.php?ud=202608121305118853ea14faf6f5_1</t>
        </is>
      </c>
      <c r="D72" t="inlineStr">
        <is>
          <t>Wed, 12 Aug 2026 14:10:00 +0900</t>
        </is>
      </c>
      <c r="E72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3">
      <c r="A73" t="n">
        <v>72</v>
      </c>
      <c r="B73" t="inlineStr">
        <is>
          <t>美 무기 구매서 첨단기술 협력 국가로… K-방산 '눈부신 발전'</t>
        </is>
      </c>
      <c r="C73" t="inlineStr">
        <is>
          <t>https://www.ajunews.com/view/20260806162915186</t>
        </is>
      </c>
      <c r="D73" t="inlineStr">
        <is>
          <t>Thu, 06 Aug 2026 18:18:00 +0900</t>
        </is>
      </c>
      <c r="E73">
        <f>HYPERLINK("https://image.ajunews.com/content/image/2026/08/06/20260806203329192695.jpg", IMAGE("https://image.ajunews.com/content/image/2026/08/06/20260806203329192695.jpg"))</f>
        <v/>
      </c>
    </row>
    <row r="74">
      <c r="A74" t="n">
        <v>73</v>
      </c>
      <c r="B74" t="inlineStr">
        <is>
          <t>글로벌 방산 트렌드는 ‘합종연횡’…한화, KAI와 손잡나</t>
        </is>
      </c>
      <c r="C74" t="inlineStr">
        <is>
          <t>https://n.news.naver.com/mnews/article/262/0000019567?sid=101</t>
        </is>
      </c>
      <c r="D74" t="inlineStr">
        <is>
          <t>Sun, 02 Aug 2026 17:01:00 +0900</t>
        </is>
      </c>
      <c r="E7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5">
      <c r="A75" t="n">
        <v>74</v>
      </c>
      <c r="B75" t="inlineStr">
        <is>
          <t>김종출 KAI 대표, 완제기 제조 역량에 'AI·위성 기술' 입힌다</t>
        </is>
      </c>
      <c r="C75" t="inlineStr">
        <is>
          <t>https://www.insightkorea.co.kr/news/articleView.html?idxno=251282</t>
        </is>
      </c>
      <c r="D75" t="inlineStr">
        <is>
          <t>Thu, 30 Jul 2026 16:12:00 +0900</t>
        </is>
      </c>
      <c r="E75">
        <f>HYPERLINK("https://cdn.insightkorea.co.kr/news/thumbnail/202607/251282_261914_1843_v150.jpg", IMAGE("https://cdn.insightkorea.co.kr/news/thumbnail/202607/251282_261914_1843_v150.jpg"))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전북대 피지컬 AI 원천기술, 기업 통해 상용화 길 열었다</t>
        </is>
      </c>
      <c r="C80" t="inlineStr">
        <is>
          <t>http://www.jeollailbo.com/news/articleView.html?idxno=806724</t>
        </is>
      </c>
      <c r="D80" t="inlineStr">
        <is>
          <t>Wed, 29 Jul 2026 15:52:00 +0900</t>
        </is>
      </c>
      <c r="E80">
        <f>HYPERLINK("https://cdn.jeollailbo.com/news/thumbnail/202607/806724_194383_5015_v150.jpg", IMAGE("https://cdn.jeollailbo.com/news/thumbnail/202607/806724_194383_5015_v150.jpg"))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[K방산 리더 한화] 현지화에 달린 해외수주… 한화오션 '패키지형 수출...</t>
        </is>
      </c>
      <c r="C83" t="inlineStr">
        <is>
          <t>https://www.asiatoday.co.kr/kn/view.php?key=20260825010008064</t>
        </is>
      </c>
      <c r="D83" t="inlineStr">
        <is>
          <t>Mon, 24 Aug 2026 18:04:00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방산 완전체 만드는 현대차그룹…현대로템 영토 확장 승부수</t>
        </is>
      </c>
      <c r="C84" t="inlineStr">
        <is>
          <t>https://www.m-i.kr/news/articleView.html?idxno=1404584</t>
        </is>
      </c>
      <c r="D84" t="inlineStr">
        <is>
          <t>Sun, 23 Aug 2026 13:00:00 +0900</t>
        </is>
      </c>
      <c r="E84">
        <f>HYPERLINK("https://cdn.m-i.kr/news/photo/202608/1404584_1192641_483.jpg", IMAGE("https://cdn.m-i.kr/news/photo/202608/1404584_1192641_483.jpg"))</f>
        <v/>
      </c>
    </row>
    <row r="85">
      <c r="A85" t="n">
        <v>84</v>
      </c>
      <c r="B85" t="inlineStr">
        <is>
          <t>1.9조 전자전기 사업 ‘흔들’…방산 비리 의혹에 지연 우려</t>
        </is>
      </c>
      <c r="C85" t="inlineStr">
        <is>
          <t>http://www.newstomato.com/ReadNews.aspx?no=1310971&amp;inflow=N</t>
        </is>
      </c>
      <c r="D85" t="inlineStr">
        <is>
          <t>Fri, 21 Aug 2026 15:06:00 +0900</t>
        </is>
      </c>
      <c r="E85">
        <f>HYPERLINK("https://image.newstomato.com/newsimg/2026/8/21/1310971/attach.jpg?v=202608240810", IMAGE("https://image.newstomato.com/newsimg/2026/8/21/1310971/attach.jpg?v=202608240810"))</f>
        <v/>
      </c>
    </row>
    <row r="86">
      <c r="A86" t="n">
        <v>85</v>
      </c>
      <c r="B86" t="inlineStr">
        <is>
          <t>전북대학교, 탈레스코리아 'STEM for ALL' 국내 첫 장학생 배출</t>
        </is>
      </c>
      <c r="C86" t="inlineStr">
        <is>
          <t>https://www.lecturernews.com/news/articleView.html?idxno=208980</t>
        </is>
      </c>
      <c r="D86" t="inlineStr">
        <is>
          <t>Fri, 21 Aug 2026 08:20:00 +0900</t>
        </is>
      </c>
      <c r="E86">
        <f>HYPERLINK("https://cdn.lecturernews.com/news/thumbnail/202608/208980_478004_3519_v150.jpg", IMAGE("https://cdn.lecturernews.com/news/thumbnail/202608/208980_478004_3519_v150.jpg"))</f>
        <v/>
      </c>
    </row>
    <row r="87">
      <c r="A87" t="n">
        <v>86</v>
      </c>
      <c r="B87" t="inlineStr">
        <is>
          <t>'방산기업 미래 전략은?' 3회 전북 방위산업 육성 세미나</t>
        </is>
      </c>
      <c r="C87" t="inlineStr">
        <is>
          <t>https://n.news.naver.com/mnews/article/003/0014139089?sid=102</t>
        </is>
      </c>
      <c r="D87" t="inlineStr">
        <is>
          <t>Thu, 20 Aug 2026 17:02:00 +0900</t>
        </is>
      </c>
      <c r="E87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HYPERLINK("https://stqnq5ux4599.edge.naverncp.com/data2//content/image/2026/08/19/.cache/512/20260819500011.png?v=20261004032626", IMAGE("https://stqnq5ux4599.edge.naverncp.com/data2//content/image/2026/08/19/.cache/512/20260819500011.png?v=20261004032626"))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서울대 10개 만들기 선정 임박…'피지컬AI' 전북대 포함될까</t>
        </is>
      </c>
      <c r="C90" t="inlineStr">
        <is>
          <t>https://n.news.naver.com/mnews/article/421/0009116420?sid=102</t>
        </is>
      </c>
      <c r="D90" t="inlineStr">
        <is>
          <t>Sun, 16 Aug 2026 16:38:00 +0900</t>
        </is>
      </c>
      <c r="E9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필리 이어 오스탈까지… 한화, 美 해군•핵잠 노린다</t>
        </is>
      </c>
      <c r="C92" t="inlineStr">
        <is>
          <t>https://www.viva100.com/article/20260812500685</t>
        </is>
      </c>
      <c r="D92" t="inlineStr">
        <is>
          <t>Wed, 12 Aug 2026 15:00:00 +0900</t>
        </is>
      </c>
      <c r="E92">
        <f>HYPERLINK("https://stqnq5ux4599.edge.naverncp.com/data2//content/image/2026/08/12/20260812500674.webp?v=20261004032636", IMAGE("https://stqnq5ux4599.edge.naverncp.com/data2//content/image/2026/08/12/20260812500674.webp?v=20261004032636"))</f>
        <v/>
      </c>
    </row>
    <row r="93">
      <c r="A93" t="n">
        <v>92</v>
      </c>
      <c r="B93" t="inlineStr">
        <is>
          <t>전북대 '휘둥그레' 팀, 대학생 AI 자율주행 경진대회 대상</t>
        </is>
      </c>
      <c r="C93" t="inlineStr">
        <is>
          <t>https://n.news.naver.com/mnews/article/421/0009108391?sid=102</t>
        </is>
      </c>
      <c r="D93" t="inlineStr">
        <is>
          <t>Tue, 11 Aug 2026 16:29:00 +0900</t>
        </is>
      </c>
      <c r="E9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4">
      <c r="A94" t="n">
        <v>93</v>
      </c>
      <c r="B94" t="inlineStr">
        <is>
          <t>전북대, 자율주행 전국대회서 '대상'…AI·미래차 기술력 입증</t>
        </is>
      </c>
      <c r="C94" t="inlineStr">
        <is>
          <t>https://n.news.naver.com/mnews/article/629/0000523577?sid=102</t>
        </is>
      </c>
      <c r="D94" t="inlineStr">
        <is>
          <t>Tue, 11 Aug 2026 16:22:00 +0900</t>
        </is>
      </c>
      <c r="E9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5">
      <c r="A95" t="n">
        <v>94</v>
      </c>
      <c r="B95" t="inlineStr">
        <is>
          <t>한화, KAI ‘인수’ 성큼…완주까지 넘어야 할 산</t>
        </is>
      </c>
      <c r="C95" t="inlineStr">
        <is>
          <t>http://www.newstomato.com/ReadNews.aspx?no=1309851&amp;inflow=N</t>
        </is>
      </c>
      <c r="D95" t="inlineStr">
        <is>
          <t>Tue, 11 Aug 2026 10:38:00 +0900</t>
        </is>
      </c>
      <c r="E95">
        <f>HYPERLINK("https://image.newstomato.com/newsimg/2026/8/11/1309851/attach.jpg?v=202608111426", IMAGE("https://image.newstomato.com/newsimg/2026/8/11/1309851/attach.jpg?v=202608111426"))</f>
        <v/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실적은 ‘훨훨’ 수출은 ‘주춤’…K방산 ‘성장 지속성’ 기로</t>
        </is>
      </c>
      <c r="C103" t="inlineStr">
        <is>
          <t>http://www.newstomato.com/ReadNews.aspx?no=1309035&amp;inflow=N</t>
        </is>
      </c>
      <c r="D103" t="inlineStr">
        <is>
          <t>Mon, 03 Aug 2026 15:20:00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K-방산, AI 파트너 확보전…기술 협력망이 새 경쟁력</t>
        </is>
      </c>
      <c r="C104" t="inlineStr">
        <is>
          <t>https://www.g-enews.com/view.php?ud=202607290914253246ea14faf6f5_1</t>
        </is>
      </c>
      <c r="D104" t="inlineStr">
        <is>
          <t>Wed, 29 Jul 2026 13:12:00 +0900</t>
        </is>
      </c>
      <c r="E10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5">
      <c r="A105" t="n">
        <v>104</v>
      </c>
      <c r="B105" t="inlineStr">
        <is>
          <t>‘MASGA’ 출범했지만⋯ K-조선 수혜규모, 워싱턴서 갈린다</t>
        </is>
      </c>
      <c r="C105" t="inlineStr">
        <is>
          <t>https://www.viva100.com/article/20260726500503</t>
        </is>
      </c>
      <c r="D105" t="inlineStr">
        <is>
          <t>Sun, 26 Jul 2026 15:42:00 +0900</t>
        </is>
      </c>
      <c r="E105">
        <f>HYPERLINK("https://stqnq5ux4599.edge.naverncp.com/data2//content/image/2026/07/26/.cache/512/20260726500497.jpg?v=20261004032705", IMAGE("https://stqnq5ux4599.edge.naverncp.com/data2//content/image/2026/07/26/.cache/512/20260726500497.jpg?v=20261004032705"))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전북대, AI-무인전투 이끌 ‘K-방산 인재’ 650명 키운다</t>
        </is>
      </c>
      <c r="C107" t="inlineStr">
        <is>
          <t>https://n.news.naver.com/mnews/article/020/0003736186?sid=102</t>
        </is>
      </c>
      <c r="D107" t="inlineStr">
        <is>
          <t>Fri, 24 Jul 2026 04:33:00 +0900</t>
        </is>
      </c>
      <c r="E10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8">
      <c r="A108" t="n">
        <v>107</v>
      </c>
      <c r="B108" t="inlineStr">
        <is>
          <t>전북대 “K-방산 인재·산업 거점으로 도약”</t>
        </is>
      </c>
      <c r="C108" t="inlineStr">
        <is>
          <t>https://n.news.naver.com/mnews/article/020/0003735992?sid=102</t>
        </is>
      </c>
      <c r="D108" t="inlineStr">
        <is>
          <t>Thu, 23 Jul 2026 14:48:00 +0900</t>
        </is>
      </c>
      <c r="E10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9">
      <c r="A109" t="n">
        <v>108</v>
      </c>
      <c r="B109" t="inlineStr">
        <is>
          <t>[차세현의 직격토론] “미국 군함 건조하면 나토 시장 K방산에 활짝 열...</t>
        </is>
      </c>
      <c r="C109" t="inlineStr">
        <is>
          <t>https://n.news.naver.com/mnews/article/025/0003539208?sid=110</t>
        </is>
      </c>
      <c r="D109" t="inlineStr">
        <is>
          <t>Wed, 22 Jul 2026 00:14:00 +0900</t>
        </is>
      </c>
      <c r="E10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0">
      <c r="A110" t="n">
        <v>109</v>
      </c>
      <c r="B110" t="inlineStr">
        <is>
          <t>김동관 한화 부회장, '전 공정 현지 생산'으로 미국 방산 '벽' 깬다</t>
        </is>
      </c>
      <c r="C110" t="inlineStr">
        <is>
          <t>https://www.insightkorea.co.kr/news/articleView.html?idxno=250489</t>
        </is>
      </c>
      <c r="D110" t="inlineStr">
        <is>
          <t>Mon, 20 Jul 2026 16:36:00 +0900</t>
        </is>
      </c>
      <c r="E110">
        <f>HYPERLINK("https://cdn.insightkorea.co.kr/news/thumbnail/202607/250489_260882_4746_v150.jpg", IMAGE("https://cdn.insightkorea.co.kr/news/thumbnail/202607/250489_260882_4746_v150.jpg"))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'유럽 방산블록'에 수주 주춤…K방산 승부처는</t>
        </is>
      </c>
      <c r="C112" t="inlineStr">
        <is>
          <t>https://news.mtn.co.kr/news-detail/2026071616414621415</t>
        </is>
      </c>
      <c r="D112" t="inlineStr">
        <is>
          <t>Thu, 16 Jul 2026 17:54:00 +0900</t>
        </is>
      </c>
      <c r="E11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3">
      <c r="A113" t="n">
        <v>112</v>
      </c>
      <c r="B113" t="inlineStr">
        <is>
          <t>유럽 '방산 블록' 본격화, K-방산 새 수출 전략이 필요하다</t>
        </is>
      </c>
      <c r="C113" t="inlineStr">
        <is>
          <t>https://bizhankook.com/articles/k-defense-europe-future-strategy.html</t>
        </is>
      </c>
      <c r="D113" t="inlineStr">
        <is>
          <t>Thu, 16 Jul 2026 15:48:00 +0900</t>
        </is>
      </c>
      <c r="E113">
        <f>HYPERLINK("https://s.bizhankook.com/attachments_og/2026/07/134680_og_4b86a4ce.jpg", IMAGE("https://s.bizhankook.com/attachments_og/2026/07/134680_og_4b86a4ce.jpg"))</f>
        <v/>
      </c>
    </row>
    <row r="114">
      <c r="A114" t="n">
        <v>113</v>
      </c>
      <c r="B114" t="inlineStr">
        <is>
          <t>4조짜리 태국 호위함 잡아라…조선 '빅2' 수주전 곧 결판난다</t>
        </is>
      </c>
      <c r="C114" t="inlineStr">
        <is>
          <t>https://www.insightkorea.co.kr/news/articleView.html?idxno=250247</t>
        </is>
      </c>
      <c r="D114" t="inlineStr">
        <is>
          <t>Wed, 15 Jul 2026 17:08:00 +0900</t>
        </is>
      </c>
      <c r="E114">
        <f>HYPERLINK("https://cdn.insightkorea.co.kr/news/thumbnail/202607/250247_260717_3649_v150.jpg", IMAGE("https://cdn.insightkorea.co.kr/news/thumbnail/202607/250247_260717_3649_v150.jpg"))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[시사천국] 드론이 바꾼 전쟁의 문법…평화를 위한 K-방산의 과제는?</t>
        </is>
      </c>
      <c r="C117" t="inlineStr">
        <is>
          <t>https://news.cpbc.co.kr/article/1174362?division=NAVER</t>
        </is>
      </c>
      <c r="D117" t="inlineStr">
        <is>
          <t>Tue, 14 Jul 2026 22:54:00 +0900</t>
        </is>
      </c>
      <c r="E117">
        <f>HYPERLINK("https://img.cpbc.co.kr/newsimg/upload/2026/07/14/6oH1784030232565.jpg", IMAGE("https://img.cpbc.co.kr/newsimg/upload/2026/07/14/6oH1784030232565.jpg"))</f>
        <v/>
      </c>
    </row>
    <row r="118">
      <c r="A118" t="n">
        <v>117</v>
      </c>
      <c r="B118" t="inlineStr">
        <is>
          <t>MASGA 길 따라 ‘1600조’ 美 군함 시장 열릴까</t>
        </is>
      </c>
      <c r="C118" t="inlineStr">
        <is>
          <t>https://n.news.naver.com/mnews/article/005/0001860745?sid=101</t>
        </is>
      </c>
      <c r="D118" t="inlineStr">
        <is>
          <t>Tue, 14 Jul 2026 00:09:00 +0900</t>
        </is>
      </c>
      <c r="E11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9">
      <c r="A119" t="n">
        <v>118</v>
      </c>
      <c r="B119" t="inlineStr">
        <is>
          <t>[K함정 수출, 다음 전선] 성능만으론 부족…K함정 후속 수주전의 세 가...</t>
        </is>
      </c>
      <c r="C119" t="inlineStr">
        <is>
          <t>https://www.g-enews.com/view.php?ud=202607131543012473ea14faf6f5_1</t>
        </is>
      </c>
      <c r="D119" t="inlineStr">
        <is>
          <t>Mon, 13 Jul 2026 20:18:00 +0900</t>
        </is>
      </c>
      <c r="E11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20">
      <c r="A120" t="n">
        <v>119</v>
      </c>
      <c r="B120" t="inlineStr">
        <is>
          <t>'동맹 우선' 나토 블록화에 K방산, 유럽 시장 진출 '비상등' 켜지나</t>
        </is>
      </c>
      <c r="C120" t="inlineStr">
        <is>
          <t>https://www.insightkorea.co.kr/news/articleView.html?idxno=250034</t>
        </is>
      </c>
      <c r="D120" t="inlineStr">
        <is>
          <t>Mon, 13 Jul 2026 14:18:00 +0900</t>
        </is>
      </c>
      <c r="E120">
        <f>HYPERLINK("https://cdn.insightkorea.co.kr/news/thumbnail/202607/250034_260376_2728_v150.jpg", IMAGE("https://cdn.insightkorea.co.kr/news/thumbnail/202607/250034_260376_2728_v150.jpg"))</f>
        <v/>
      </c>
    </row>
    <row r="121">
      <c r="A121" t="n">
        <v>120</v>
      </c>
      <c r="B121" t="inlineStr">
        <is>
          <t>[포커스] 캐나다선 고배 마셨지만…&amp;quot;글로벌 군함 수주전, 지금부터 시작...</t>
        </is>
      </c>
      <c r="C121" t="inlineStr">
        <is>
          <t>https://n.news.naver.com/mnews/article/448/0000626219?sid=101</t>
        </is>
      </c>
      <c r="D121" t="inlineStr">
        <is>
          <t>Sun, 12 Jul 2026 19:33:00 +0900</t>
        </is>
      </c>
      <c r="E12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2">
      <c r="A122" t="n">
        <v>121</v>
      </c>
      <c r="B122" t="inlineStr">
        <is>
          <t>K-조선 미련⋯ 캐나다, 북극항로·해양안보 매력 못 잊어</t>
        </is>
      </c>
      <c r="C122" t="inlineStr">
        <is>
          <t>https://www.viva100.com/article/20260712500414</t>
        </is>
      </c>
      <c r="D122" t="inlineStr">
        <is>
          <t>Sun, 12 Jul 2026 14:06:00 +0900</t>
        </is>
      </c>
      <c r="E122">
        <f>HYPERLINK("https://stqnq5ux4599.edge.naverncp.com/data2//content/image/2026/07/12/.cache/512/20260712500405.jpg?v=20261004032739", IMAGE("https://stqnq5ux4599.edge.naverncp.com/data2//content/image/2026/07/12/.cache/512/20260712500405.jpg?v=20261004032739"))</f>
        <v/>
      </c>
    </row>
    <row r="123">
      <c r="A123" t="n">
        <v>122</v>
      </c>
      <c r="B123" t="inlineStr">
        <is>
          <t>한화, KAI에 '2.5兆' 베팅… '육해공 통합 방산' 퍼즐 맞춘다</t>
        </is>
      </c>
      <c r="C123" t="inlineStr">
        <is>
          <t>https://www.asiatoday.co.kr/kn/view.php?key=20260710010003712</t>
        </is>
      </c>
      <c r="D123" t="inlineStr">
        <is>
          <t>Thu, 09 Jul 2026 17:44:00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유럽 방산시장 '새 판'···나토가 선택할 K방산 기업의 조건은?</t>
        </is>
      </c>
      <c r="C124" t="inlineStr">
        <is>
          <t>http://www.enewstoday.co.kr/news/articleView.html?idxno=2447247</t>
        </is>
      </c>
      <c r="D124" t="inlineStr">
        <is>
          <t>Thu, 09 Jul 2026 15:36:00 +0900</t>
        </is>
      </c>
      <c r="E124">
        <f>HYPERLINK("https://cdn.enewstoday.co.kr/news/thumbnail/202607/2447247_1285242_2338_v150.jpg", IMAGE("https://cdn.enewstoday.co.kr/news/thumbnail/202607/2447247_1285242_2338_v150.jpg"))</f>
        <v/>
      </c>
    </row>
    <row r="125">
      <c r="A125" t="n">
        <v>124</v>
      </c>
      <c r="B125" t="inlineStr">
        <is>
          <t>[방산 이슈 진단 (152)] 캐나다 잠수함 사업, ‘20조원+α’인 사업 규모...</t>
        </is>
      </c>
      <c r="C125" t="inlineStr">
        <is>
          <t>https://www.news2day.co.kr/article/20260709500128</t>
        </is>
      </c>
      <c r="D125" t="inlineStr">
        <is>
          <t>Thu, 09 Jul 2026 11:32:00 +0900</t>
        </is>
      </c>
      <c r="E125">
        <f>HYPERLINK("https://cdn.news2day.co.kr/data2/content/image/2026/07/09/.cache/512/20260709500125.png", IMAGE("https://cdn.news2day.co.kr/data2/content/image/2026/07/09/.cache/512/20260709500125.png"))</f>
        <v/>
      </c>
    </row>
    <row r="126">
      <c r="A126" t="n">
        <v>125</v>
      </c>
      <c r="B126" t="inlineStr">
        <is>
          <t>전북대학교 방산AI부트캠프, 전국 자율주행 경진대회서 대상·동상 동시...</t>
        </is>
      </c>
      <c r="C126" t="inlineStr">
        <is>
          <t>https://www.lecturernews.com/news/articleView.html?idxno=208485</t>
        </is>
      </c>
      <c r="D126" t="inlineStr">
        <is>
          <t>Sun, 16 Aug 2026 07:16:00 +0900</t>
        </is>
      </c>
      <c r="E126">
        <f>HYPERLINK("https://cdn.lecturernews.com/news/thumbnail/202608/208485_477349_3721_v150.jpg", IMAGE("https://cdn.lecturernews.com/news/thumbnail/202608/208485_477349_3721_v150.jpg"))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 소속 학생들 우수성 입증</t>
        </is>
      </c>
      <c r="C128" t="inlineStr">
        <is>
          <t>http://www.jeollailbo.com/news/articleView.html?idxno=807915</t>
        </is>
      </c>
      <c r="D128" t="inlineStr">
        <is>
          <t>Tue, 11 Aug 2026 17:18:00 +0900</t>
        </is>
      </c>
      <c r="E128">
        <f>HYPERLINK("https://cdn.jeollailbo.com/news/thumbnail/202608/807915_195513_1937_v150.jpg", IMAGE("https://cdn.jeollailbo.com/news/thumbnail/202608/807915_195513_1937_v150.jpg"))</f>
        <v/>
      </c>
    </row>
    <row r="129">
      <c r="A129" t="n">
        <v>128</v>
      </c>
      <c r="B129" t="inlineStr">
        <is>
          <t>전북대 방산AI부트캠프사업단 자율주행 경진대회 대상/동상 석권.. AI자...</t>
        </is>
      </c>
      <c r="C129" t="inlineStr">
        <is>
          <t>https://www.veritas-a.com/news/articleView.html?idxno=622755</t>
        </is>
      </c>
      <c r="D129" t="inlineStr">
        <is>
          <t>Tue, 11 Aug 2026 12:30:00 +0900</t>
        </is>
      </c>
      <c r="E129">
        <f>HYPERLINK("https://cdn.veritas-a.com/news/thumbnail/202608/622755_535846_2732_v150.jpg", IMAGE("https://cdn.veritas-a.com/news/thumbnail/202608/622755_535846_2732_v150.jpg"))</f>
        <v/>
      </c>
    </row>
    <row r="130">
      <c r="A130" t="n">
        <v>129</v>
      </c>
      <c r="B130" t="inlineStr">
        <is>
          <t>전북대, 전국 대학생 AI 자율주행 경진대회서 대상·동상</t>
        </is>
      </c>
      <c r="C130" t="inlineStr">
        <is>
          <t>https://n.news.naver.com/mnews/article/003/0014119994?sid=102</t>
        </is>
      </c>
      <c r="D130" t="inlineStr">
        <is>
          <t>Tue, 11 Aug 2026 11:34:00 +0900</t>
        </is>
      </c>
      <c r="E130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1">
      <c r="A131" t="n">
        <v>130</v>
      </c>
      <c r="B131" t="inlineStr">
        <is>
          <t>에스토니아서 '천둥'이라 부르는 K9 자주포... 전 방위사업청장이 말하...</t>
        </is>
      </c>
      <c r="C131" t="inlineStr">
        <is>
          <t>https://n.news.naver.com/mnews/article/469/0000944797?sid=100</t>
        </is>
      </c>
      <c r="D131" t="inlineStr">
        <is>
          <t>Tue, 28 Jul 2026 14:01:00 +0900</t>
        </is>
      </c>
      <c r="E13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[시선집중] 방산전문가 &amp;quot;李대통령, 나토 방산시장 '혈 뚫었다'...공동개...</t>
        </is>
      </c>
      <c r="C133" t="inlineStr">
        <is>
          <t>https://n.news.naver.com/mnews/article/214/0001510555?sid=100</t>
        </is>
      </c>
      <c r="D133" t="inlineStr">
        <is>
          <t>Thu, 09 Jul 2026 10:17:00 +0900</t>
        </is>
      </c>
      <c r="E133">
        <f>HYPERLINK("https://ssl.pstatic.net/static.news/image/news/ogtag/navernews_800x420_20221201.jpg", IMAGE("https://ssl.pstatic.net/static.news/image/news/ogtag/navernews_800x420_20221201.jpg"))</f>
        <v/>
      </c>
    </row>
    <row r="134">
      <c r="A134" t="n">
        <v>133</v>
      </c>
      <c r="B134" t="inlineStr">
        <is>
          <t>“나토 높은 벽” 뚫는 李 승부수, 조달협정…“우회로 뚫는 효과”</t>
        </is>
      </c>
      <c r="C134" t="inlineStr">
        <is>
          <t>https://n.news.naver.com/mnews/article/025/0003536241?sid=100</t>
        </is>
      </c>
      <c r="D134" t="inlineStr">
        <is>
          <t>Wed, 08 Jul 2026 17:27:00 +0900</t>
        </is>
      </c>
      <c r="E13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정체기 맞은 K-방산, 향후 대형 수주로 반등 노린다</t>
        </is>
      </c>
      <c r="C174" t="inlineStr">
        <is>
          <t>https://www.m-i.kr/news/articleView.html?idxno=1405767</t>
        </is>
      </c>
      <c r="D174" t="inlineStr">
        <is>
          <t>Tue, 25 Aug 2026 15:36:00 +0900</t>
        </is>
      </c>
      <c r="E174">
        <f>HYPERLINK("https://cdn.m-i.kr/news/photo/202608/1405767_1193937_3424.jpg", IMAGE("https://cdn.m-i.kr/news/photo/202608/1405767_1193937_3424.jpg"))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HYPERLINK("https://cdn.m-i.kr/news/photo/202608/1400586_1188464_1020.jpg", IMAGE("https://cdn.m-i.kr/news/photo/202608/1400586_1188464_1020.jpg"))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HYPERLINK("https://cdn.m-i.kr/news/photo/202607/1397184_1185010_558.jpg", IMAGE("https://cdn.m-i.kr/news/photo/202607/1397184_1185010_558.jpg"))</f>
        <v/>
      </c>
    </row>
    <row r="182">
      <c r="A182" t="n">
        <v>181</v>
      </c>
      <c r="B182" t="inlineStr">
        <is>
          <t>[무기 된 AI, K방산 좌표]①방산 4社 AI 무장 끝냈지만…낡은 인증제도가...</t>
        </is>
      </c>
      <c r="C182" t="inlineStr">
        <is>
          <t>https://n.news.naver.com/mnews/article/277/0005796140?sid=101</t>
        </is>
      </c>
      <c r="D182" t="inlineStr">
        <is>
          <t>Wed, 29 Jul 2026 10:47:00 +0900</t>
        </is>
      </c>
      <c r="E18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3">
      <c r="A183" t="n">
        <v>182</v>
      </c>
      <c r="B183" t="inlineStr">
        <is>
          <t>“한일, 해양수송로 공유… 분쟁시 운명공동체 될 것”</t>
        </is>
      </c>
      <c r="C183" t="inlineStr">
        <is>
          <t>https://n.news.naver.com/mnews/article/020/0003737284?sid=104</t>
        </is>
      </c>
      <c r="D183" t="inlineStr">
        <is>
          <t>Wed, 29 Jul 2026 04:36:00 +0900</t>
        </is>
      </c>
      <c r="E183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4">
      <c r="A184" t="n">
        <v>183</v>
      </c>
      <c r="B184" t="inlineStr">
        <is>
          <t>[기획]북미서 고배 마셨지만…HD현대·한화, 남미 함정 수요 정조준</t>
        </is>
      </c>
      <c r="C184" t="inlineStr">
        <is>
          <t>https://www.m-i.kr/news/articleView.html?idxno=1395625</t>
        </is>
      </c>
      <c r="D184" t="inlineStr">
        <is>
          <t>Mon, 27 Jul 2026 15:38:00 +0900</t>
        </is>
      </c>
      <c r="E184">
        <f>HYPERLINK("https://cdn.m-i.kr/news/photo/202607/1395625_1183389_4926.jpg", IMAGE("https://cdn.m-i.kr/news/photo/202607/1395625_1183389_4926.jpg"))</f>
        <v/>
      </c>
    </row>
    <row r="185">
      <c r="A185" t="n">
        <v>184</v>
      </c>
      <c r="B185" t="inlineStr">
        <is>
          <t>포티투마루, ‘K-팔란티어’ 육성 위한 ‘국방 AI 생태계’ 전략 제시</t>
        </is>
      </c>
      <c r="C185" t="inlineStr">
        <is>
          <t>https://www.etoday.co.kr/news/view/2605457</t>
        </is>
      </c>
      <c r="D185" t="inlineStr">
        <is>
          <t>Tue, 21 Jul 2026 08:32:00 +0900</t>
        </is>
      </c>
      <c r="E185">
        <f>HYPERLINK("https://img.etoday.co.kr/pto_db/2026/07/20260721082646_2361751_1000_276.png", IMAGE("https://img.etoday.co.kr/pto_db/2026/07/20260721082646_2361751_1000_276.png"))</f>
        <v/>
      </c>
    </row>
    <row r="186">
      <c r="A186" t="n">
        <v>185</v>
      </c>
      <c r="B186" t="inlineStr">
        <is>
          <t>[기획]中 &amp;quot;美 대신 우리와&amp;quot;…K-조선, 글로벌 해양 안보 핵심축 부상</t>
        </is>
      </c>
      <c r="C186" t="inlineStr">
        <is>
          <t>https://www.m-i.kr/news/articleView.html?idxno=1392350</t>
        </is>
      </c>
      <c r="D186" t="inlineStr">
        <is>
          <t>Sun, 19 Jul 2026 13:00:00 +0900</t>
        </is>
      </c>
      <c r="E186">
        <f>HYPERLINK("https://cdn.m-i.kr/news/photo/202607/1392350_1180000_1950.jpg", IMAGE("https://cdn.m-i.kr/news/photo/202607/1392350_1180000_1950.jpg"))</f>
        <v/>
      </c>
    </row>
    <row r="187">
      <c r="A187" t="n">
        <v>186</v>
      </c>
      <c r="B187" t="inlineStr">
        <is>
          <t>KAI 인수 침 바르는 한화, 걸림돌 뭐가 있을까 [이슈체크]</t>
        </is>
      </c>
      <c r="C187" t="inlineStr">
        <is>
          <t>https://news.mtn.co.kr/news-detail/2026071509051891124</t>
        </is>
      </c>
      <c r="D187" t="inlineStr">
        <is>
          <t>Thu, 16 Jul 2026 09:40:00 +0900</t>
        </is>
      </c>
      <c r="E187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8">
      <c r="A188" t="n">
        <v>187</v>
      </c>
      <c r="B188" t="inlineStr">
        <is>
          <t>잇단 수출 실패... 한국 잠수함 생태계 '일감 절벽' 경고등</t>
        </is>
      </c>
      <c r="C188" t="inlineStr">
        <is>
          <t>https://n.news.naver.com/mnews/article/469/0000942297?sid=101</t>
        </is>
      </c>
      <c r="D188" t="inlineStr">
        <is>
          <t>Wed, 15 Jul 2026 04:30:00 +0900</t>
        </is>
      </c>
      <c r="E18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9">
      <c r="A189" t="n">
        <v>188</v>
      </c>
      <c r="B189" t="inlineStr">
        <is>
          <t>[이슈체크]한화, KAI 인수...K-방산 판도 변화</t>
        </is>
      </c>
      <c r="C189" t="inlineStr">
        <is>
          <t>http://www.hansbiz.co.kr/news/articleView.html?idxno=849986</t>
        </is>
      </c>
      <c r="D189" t="inlineStr">
        <is>
          <t>Mon, 13 Jul 2026 16:32:00 +0900</t>
        </is>
      </c>
      <c r="E189">
        <f>HYPERLINK("https://cdn.hansbiz.co.kr/news/thumbnail/202607/849986_866987_384_v150.jpg", IMAGE("https://cdn.hansbiz.co.kr/news/thumbnail/202607/849986_866987_384_v150.jpg"))</f>
        <v/>
      </c>
    </row>
    <row r="190">
      <c r="A190" t="n">
        <v>189</v>
      </c>
      <c r="B190" t="inlineStr">
        <is>
          <t>곧 전장 뛰어들 피지컬 AI…“자율전투로 기술난제 극복”</t>
        </is>
      </c>
      <c r="C190" t="inlineStr">
        <is>
          <t>https://n.news.naver.com/mnews/article/011/0004603882?sid=100</t>
        </is>
      </c>
      <c r="D190" t="inlineStr">
        <is>
          <t>Thu, 26 Mar 2026 17:46:00 +0900</t>
        </is>
      </c>
      <c r="E19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1">
      <c r="A191" t="n">
        <v>190</v>
      </c>
      <c r="B191" t="inlineStr">
        <is>
          <t>[본지-대교협 공동기획中] 생성형 AI 기반 수업 혁신 확산 속 &amp;quot;인간 고유...</t>
        </is>
      </c>
      <c r="C191" t="inlineStr">
        <is>
          <t>https://news.unn.net/news/articleView.html?idxno=593399</t>
        </is>
      </c>
      <c r="D191" t="inlineStr">
        <is>
          <t>Mon, 15 Jun 2026 09:00:00 +0900</t>
        </is>
      </c>
      <c r="E191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2026-10-03T18:30:02Z</dcterms:created>
  <dcterms:modified xsi:type="dcterms:W3CDTF">2026-10-03T18:30:02Z</dcterms:modified>
</cp:coreProperties>
</file>