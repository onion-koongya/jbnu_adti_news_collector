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우크라이나 외교 마찰이 반증한 K방산 위상…'납기·대량생산' 주목</t>
        </is>
      </c>
      <c r="C19" t="inlineStr">
        <is>
          <t>https://www.insightkorea.co.kr/news/articleView.html?idxno=255802</t>
        </is>
      </c>
      <c r="D19" t="inlineStr">
        <is>
          <t>Fri, 02 Oct 2026 15:04:00 +0900</t>
        </is>
      </c>
      <c r="E19">
        <f>HYPERLINK("https://cdn.insightkorea.co.kr/news/thumbnail/202610/255802_267829_4146_v150.jpg", IMAGE("https://cdn.insightkorea.co.kr/news/thumbnail/202610/255802_267829_4146_v150.jpg"))</f>
        <v/>
      </c>
    </row>
    <row r="20">
      <c r="A20" t="n">
        <v>19</v>
      </c>
      <c r="B20" t="inlineStr">
        <is>
          <t>J방산, 정부 지원 업고… K방산 텃밭 노린다</t>
        </is>
      </c>
      <c r="C20" t="inlineStr">
        <is>
          <t>https://n.news.naver.com/mnews/article/023/0004001645?sid=101</t>
        </is>
      </c>
      <c r="D20" t="inlineStr">
        <is>
          <t>Fri, 02 Oct 2026 00:34:00 +0900</t>
        </is>
      </c>
      <c r="E20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1">
      <c r="A21" t="n">
        <v>20</v>
      </c>
      <c r="B21" t="inlineStr">
        <is>
          <t>황명선 의원, 신안보 혁신기업 육성 대토론회' 개최</t>
        </is>
      </c>
      <c r="C21" t="inlineStr">
        <is>
          <t>https://www.newstnt.com/news/articleView.html?idxno=720942</t>
        </is>
      </c>
      <c r="D21" t="inlineStr">
        <is>
          <t>Thu, 01 Oct 2026 00:30:00 +0900</t>
        </is>
      </c>
      <c r="E21">
        <f>HYPERLINK("https://cdn.newstnt.com/news/photo/202609/720942_724769_5844.png", IMAGE("https://cdn.newstnt.com/news/photo/202609/720942_724769_5844.png"))</f>
        <v/>
      </c>
    </row>
    <row r="22">
      <c r="A22" t="n">
        <v>21</v>
      </c>
      <c r="B22" t="inlineStr">
        <is>
          <t>K-방산, 대기업 넘어 생태계로…실증·구매·정책금융 잇는다</t>
        </is>
      </c>
      <c r="C22" t="inlineStr">
        <is>
          <t>http://www.newstomato.com/ReadNews.aspx?no=1315259&amp;inflow=N</t>
        </is>
      </c>
      <c r="D22" t="inlineStr">
        <is>
          <t>Wed, 30 Sep 2026 16:34:00 +0900</t>
        </is>
      </c>
      <c r="E22">
        <f>HYPERLINK("https://image.newstomato.com/newsimg/2026/9/30/1315259/attach.jpg?v=202609301631", IMAGE("https://image.newstomato.com/newsimg/2026/9/30/1315259/attach.jpg?v=202609301631"))</f>
        <v/>
      </c>
    </row>
    <row r="23">
      <c r="A23" t="n">
        <v>22</v>
      </c>
      <c r="B23" t="inlineStr">
        <is>
          <t>[방산 이슈 진단 (156)] 국방첨단전력법, 하위 법령에서 ‘권한·예산·...</t>
        </is>
      </c>
      <c r="C23" t="inlineStr">
        <is>
          <t>https://www.news2day.co.kr/article/20260929500296</t>
        </is>
      </c>
      <c r="D23" t="inlineStr">
        <is>
          <t>Tue, 29 Sep 2026 17:18:00 +0900</t>
        </is>
      </c>
      <c r="E23">
        <f>HYPERLINK("https://cdn.news2day.co.kr/data2/content/image/2026/09/29/.cache/512/20260929500295.png", IMAGE("https://cdn.news2day.co.kr/data2/content/image/2026/09/29/.cache/512/20260929500295.png"))</f>
        <v/>
      </c>
    </row>
    <row r="24">
      <c r="A24" t="n">
        <v>23</v>
      </c>
      <c r="B24" t="inlineStr">
        <is>
          <t>생산부터 정비까지…K-방산, 전장 밖으로 넓어지는 AX</t>
        </is>
      </c>
      <c r="C24" t="inlineStr">
        <is>
          <t>https://www.g-enews.com/view.php?ud=202609231520348026ea14faf6f5_1</t>
        </is>
      </c>
      <c r="D24" t="inlineStr">
        <is>
          <t>Fri, 25 Sep 2026 09:02:00 +0900</t>
        </is>
      </c>
      <c r="E24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5">
      <c r="A25" t="n">
        <v>24</v>
      </c>
      <c r="B25" t="inlineStr">
        <is>
          <t>美 지상·해양 방산사업 핵심축 '한화디펜스USA'…현지화 속도</t>
        </is>
      </c>
      <c r="C25" t="inlineStr">
        <is>
          <t>https://news.mtn.co.kr/news-detail/2026092216533024563</t>
        </is>
      </c>
      <c r="D25" t="inlineStr">
        <is>
          <t>Tue, 22 Sep 2026 17:50:00 +0900</t>
        </is>
      </c>
      <c r="E25">
        <f>HYPERLINK("https://menu.mtn.co.kr/upload/article/2026/09/22/2026092216533024563_00_228.jpg", IMAGE("https://menu.mtn.co.kr/upload/article/2026/09/22/2026092216533024563_00_228.jpg"))</f>
        <v/>
      </c>
    </row>
    <row r="26">
      <c r="A26" t="n">
        <v>25</v>
      </c>
      <c r="B26" t="inlineStr">
        <is>
          <t>전북대, 방산기업 15곳과 맞춤형 인재양성 프로그램 운영</t>
        </is>
      </c>
      <c r="C26" t="inlineStr">
        <is>
          <t>https://n.news.naver.com/mnews/article/003/0014200391?sid=102</t>
        </is>
      </c>
      <c r="D26" t="inlineStr">
        <is>
          <t>Fri, 18 Sep 2026 16:41:00 +0900</t>
        </is>
      </c>
      <c r="E26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7">
      <c r="A27" t="n">
        <v>26</v>
      </c>
      <c r="B27" t="inlineStr">
        <is>
          <t>첨단 드론 잇단 추락…방산 ‘무인 경쟁력’ 우려 확대</t>
        </is>
      </c>
      <c r="C27" t="inlineStr">
        <is>
          <t>http://www.newstomato.com/ReadNews.aspx?no=1314054&amp;inflow=N</t>
        </is>
      </c>
      <c r="D27" t="inlineStr">
        <is>
          <t>Thu, 17 Sep 2026 15:00:00 +0900</t>
        </is>
      </c>
      <c r="E27">
        <f>HYPERLINK("https://image.newstomato.com/newsimg/2026/9/17/1314054/attach.jpg?v=202609180945", IMAGE("https://image.newstomato.com/newsimg/2026/9/17/1314054/attach.jpg?v=202609180945"))</f>
        <v/>
      </c>
    </row>
    <row r="28">
      <c r="A28" t="n">
        <v>27</v>
      </c>
      <c r="B28" t="inlineStr">
        <is>
          <t>&amp;quot;민주당 맹목적 지지 벗어나 전북발전 성과 요구하자&amp;quot;…오창환 전북대 ...</t>
        </is>
      </c>
      <c r="C28" t="inlineStr">
        <is>
          <t>https://n.news.naver.com/mnews/article/002/0002457143?sid=102</t>
        </is>
      </c>
      <c r="D28" t="inlineStr">
        <is>
          <t>Thu, 17 Sep 2026 11:00:00 +0900</t>
        </is>
      </c>
      <c r="E28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9">
      <c r="A29" t="n">
        <v>28</v>
      </c>
      <c r="B29" t="inlineStr">
        <is>
          <t>K방산, 100조 수주에도 점유율 2%…&amp;quot;체급 키워 메인 시장 가야&amp;quot;</t>
        </is>
      </c>
      <c r="C29" t="inlineStr">
        <is>
          <t>https://www.insightkorea.co.kr/news/articleView.html?idxno=254595</t>
        </is>
      </c>
      <c r="D29" t="inlineStr">
        <is>
          <t>Tue, 15 Sep 2026 16:40:00 +0900</t>
        </is>
      </c>
      <c r="E29">
        <f>HYPERLINK("https://cdn.insightkorea.co.kr/news/thumbnail/202609/254595_266314_382_v150.jpg", IMAGE("https://cdn.insightkorea.co.kr/news/thumbnail/202609/254595_266314_382_v150.jpg"))</f>
        <v/>
      </c>
    </row>
    <row r="30">
      <c r="A30" t="n">
        <v>29</v>
      </c>
      <c r="B30" t="inlineStr">
        <is>
          <t>사거리 100㎞, 분당 11발...차세대 K9 자주포의 조건은</t>
        </is>
      </c>
      <c r="C30" t="inlineStr">
        <is>
          <t>https://n.news.naver.com/mnews/article/469/0000953681?sid=100</t>
        </is>
      </c>
      <c r="D30" t="inlineStr">
        <is>
          <t>Sun, 13 Sep 2026 10:00:00 +0900</t>
        </is>
      </c>
      <c r="E30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1">
      <c r="A31" t="n">
        <v>30</v>
      </c>
      <c r="B31" t="inlineStr">
        <is>
          <t>김동관 한화 부회장, 크로아티아도 뚫었다…천무, 6400억 '수주'</t>
        </is>
      </c>
      <c r="C31" t="inlineStr">
        <is>
          <t>https://www.insightkorea.co.kr/news/articleView.html?idxno=254410</t>
        </is>
      </c>
      <c r="D31" t="inlineStr">
        <is>
          <t>Fri, 11 Sep 2026 16:58:00 +0900</t>
        </is>
      </c>
      <c r="E31">
        <f>HYPERLINK("https://cdn.insightkorea.co.kr/news/thumbnail/202609/254410_266038_266_v150.jpg", IMAGE("https://cdn.insightkorea.co.kr/news/thumbnail/202609/254410_266038_266_v150.jpg"))</f>
        <v/>
      </c>
    </row>
    <row r="32">
      <c r="A32" t="n">
        <v>31</v>
      </c>
      <c r="B32" t="inlineStr">
        <is>
          <t>[전북 24시] 전북대ㆍ공군미사일방어사령부, 방공·미사일방어 역량 강...</t>
        </is>
      </c>
      <c r="C32" t="inlineStr">
        <is>
          <t>https://n.news.naver.com/mnews/article/586/0000138022?sid=102</t>
        </is>
      </c>
      <c r="D32" t="inlineStr">
        <is>
          <t>Fri, 11 Sep 2026 16:35:00 +0900</t>
        </is>
      </c>
      <c r="E32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3">
      <c r="A33" t="n">
        <v>32</v>
      </c>
      <c r="B33" t="inlineStr">
        <is>
          <t>전북대·미사일방어사령부, 미래 방공 역량 강화 '맞손'</t>
        </is>
      </c>
      <c r="C33" t="inlineStr">
        <is>
          <t>https://n.news.naver.com/mnews/article/003/0014184908?sid=102</t>
        </is>
      </c>
      <c r="D33" t="inlineStr">
        <is>
          <t>Fri, 11 Sep 2026 14:59:00 +0900</t>
        </is>
      </c>
      <c r="E33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4">
      <c r="A34" t="n">
        <v>33</v>
      </c>
      <c r="B34" t="inlineStr">
        <is>
          <t>전북대 국방산업연구소-공군미사일방어사령부, 국방과학기술 연구·전문...</t>
        </is>
      </c>
      <c r="C34" t="inlineStr">
        <is>
          <t>https://n.news.naver.com/mnews/article/030/0003465967?sid=102</t>
        </is>
      </c>
      <c r="D34" t="inlineStr">
        <is>
          <t>Fri, 11 Sep 2026 14:13:00 +0900</t>
        </is>
      </c>
      <c r="E34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5">
      <c r="A35" t="n">
        <v>34</v>
      </c>
      <c r="B35" t="inlineStr">
        <is>
          <t>13년 만에 다시 태국…한화오션, 함정 수출 사업 재개에 후속 사업 기대</t>
        </is>
      </c>
      <c r="C35" t="inlineStr">
        <is>
          <t>https://www.g-enews.com/view.php?ud=202609091411036783ea14faf6f5_1</t>
        </is>
      </c>
      <c r="D35" t="inlineStr">
        <is>
          <t>Wed, 09 Sep 2026 18:00:00 +0900</t>
        </is>
      </c>
      <c r="E35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6">
      <c r="A36" t="n">
        <v>35</v>
      </c>
      <c r="B36" t="inlineStr">
        <is>
          <t>[기획]수출 늘어난 K-방산, 협력사 지원도 늘렸다</t>
        </is>
      </c>
      <c r="C36" t="inlineStr">
        <is>
          <t>https://www.m-i.kr/news/articleView.html?idxno=1411337</t>
        </is>
      </c>
      <c r="D36" t="inlineStr">
        <is>
          <t>Tue, 08 Sep 2026 15:30:00 +0900</t>
        </is>
      </c>
      <c r="E36">
        <f>HYPERLINK("https://cdn.m-i.kr/news/photo/202609/1411337_1199637_2253.jpg", IMAGE("https://cdn.m-i.kr/news/photo/202609/1411337_1199637_2253.jpg"))</f>
        <v/>
      </c>
    </row>
    <row r="37">
      <c r="A37" t="n">
        <v>36</v>
      </c>
      <c r="B37" t="inlineStr">
        <is>
          <t>양오봉 전북대 총장, ‘전고를 빛낸 사람들 상' 수상</t>
        </is>
      </c>
      <c r="C37" t="inlineStr">
        <is>
          <t>https://sjbnews.com/news/news.php?number=887083</t>
        </is>
      </c>
      <c r="D37" t="inlineStr">
        <is>
          <t>Tue, 08 Sep 2026 00:37:00 +0900</t>
        </is>
      </c>
      <c r="E37">
        <f>HYPERLINK("http://sjbnews.com/data/data_file/thum_887083_202609_0.jpg", IMAGE("http://sjbnews.com/data/data_file/thum_887083_202609_0.jpg"))</f>
        <v/>
      </c>
    </row>
    <row r="38">
      <c r="A38" t="n">
        <v>37</v>
      </c>
      <c r="B38" t="inlineStr">
        <is>
          <t>전차 넘어 항공우주로…현대로템, 종합방산 도약 속도</t>
        </is>
      </c>
      <c r="C38" t="inlineStr">
        <is>
          <t>https://www.g-enews.com/view.php?ud=202609071405515543ea14faf6f5_1</t>
        </is>
      </c>
      <c r="D38" t="inlineStr">
        <is>
          <t>Mon, 07 Sep 2026 19:32:00 +0900</t>
        </is>
      </c>
      <c r="E38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9">
      <c r="A39" t="n">
        <v>38</v>
      </c>
      <c r="B39" t="inlineStr">
        <is>
          <t>한화에어로, 무인차 아리온스멧 군 전력화 시동</t>
        </is>
      </c>
      <c r="C39" t="inlineStr">
        <is>
          <t>https://n.news.naver.com/mnews/article/417/0001157611?sid=101</t>
        </is>
      </c>
      <c r="D39" t="inlineStr">
        <is>
          <t>Mon, 07 Sep 2026 17:46:00 +0900</t>
        </is>
      </c>
      <c r="E39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0">
      <c r="A40" t="n">
        <v>39</v>
      </c>
      <c r="B40" t="inlineStr">
        <is>
          <t>[전북 24시] 전북대, 2027학년도 수시모집 총 3507명 선발</t>
        </is>
      </c>
      <c r="C40" t="inlineStr">
        <is>
          <t>https://n.news.naver.com/mnews/article/586/0000137681?sid=102</t>
        </is>
      </c>
      <c r="D40" t="inlineStr">
        <is>
          <t>Mon, 07 Sep 2026 17:44:00 +0900</t>
        </is>
      </c>
      <c r="E40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1">
      <c r="A41" t="n">
        <v>40</v>
      </c>
      <c r="B41" t="inlineStr">
        <is>
          <t>전북대 계약정원제 활용사업, 2차년도 산학 프로젝트 본격화</t>
        </is>
      </c>
      <c r="C41" t="inlineStr">
        <is>
          <t>https://news.unn.net/news/articleView.html?idxno=597010</t>
        </is>
      </c>
      <c r="D41" t="inlineStr">
        <is>
          <t>Mon, 07 Sep 2026 11:28:00 +0900</t>
        </is>
      </c>
      <c r="E41">
        <f>HYPERLINK("https://cdn.news.unn.net/news/thumbnail/202609/597010_422691_2637_v150.jpg", IMAGE("https://cdn.news.unn.net/news/thumbnail/202609/597010_422691_2637_v150.jpg"))</f>
        <v/>
      </c>
    </row>
    <row r="42">
      <c r="A42" t="n">
        <v>41</v>
      </c>
      <c r="B42" t="inlineStr">
        <is>
          <t>KAI 경영참여 나선 한화…수출 시너지 기대 속 공급망 공정성 우려</t>
        </is>
      </c>
      <c r="C42" t="inlineStr">
        <is>
          <t>https://www.g-enews.com/view.php?ud=202609041512003756ea14faf6f5_1</t>
        </is>
      </c>
      <c r="D42" t="inlineStr">
        <is>
          <t>Sun, 06 Sep 2026 18:26:00 +0900</t>
        </is>
      </c>
      <c r="E4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3">
      <c r="A43" t="n">
        <v>42</v>
      </c>
      <c r="B43" t="inlineStr">
        <is>
          <t>‘과학수도’ 대전에 소부장 특화단지… K방산에 날개 단다</t>
        </is>
      </c>
      <c r="C43" t="inlineStr">
        <is>
          <t>https://n.news.naver.com/mnews/article/021/0002815979?sid=102</t>
        </is>
      </c>
      <c r="D43" t="inlineStr">
        <is>
          <t>Thu, 03 Sep 2026 09:19:00 +0900</t>
        </is>
      </c>
      <c r="E4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4">
      <c r="A44" t="n">
        <v>43</v>
      </c>
      <c r="B44" t="inlineStr">
        <is>
          <t>한화그룹의 KAI 인수 추진 둘러싼 갑론을박, '규모의 경제' vs '경쟁 훼손...</t>
        </is>
      </c>
      <c r="C44" t="inlineStr">
        <is>
          <t>https://www.businesspost.co.kr/BP?command=article_view&amp;num=446243</t>
        </is>
      </c>
      <c r="D44" t="inlineStr">
        <is>
          <t>Wed, 02 Sep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전북대, 거점국립대 패키지 지원 3개교 미선정</t>
        </is>
      </c>
      <c r="C45" t="inlineStr">
        <is>
          <t>https://www.newsfreezone.co.kr/news/articleView.html?idxno=706959</t>
        </is>
      </c>
      <c r="D45" t="inlineStr">
        <is>
          <t>Tue, 01 Sep 2026 20:44:00 +0900</t>
        </is>
      </c>
      <c r="E45">
        <f>HYPERLINK("https://cdn.newsfreezone.co.kr/news/thumbnail/202609/706959_753996_4129_v150.jpg", IMAGE("https://cdn.newsfreezone.co.kr/news/thumbnail/202609/706959_753996_4129_v150.jpg"))</f>
        <v/>
      </c>
    </row>
    <row r="46">
      <c r="A46" t="n">
        <v>45</v>
      </c>
      <c r="B46" t="inlineStr">
        <is>
          <t>지상·미사일·조선 전방위로…한화, 美 방산시장 공략 가속</t>
        </is>
      </c>
      <c r="C46" t="inlineStr">
        <is>
          <t>https://www.g-enews.com/view.php?ud=202608281607092592ea14faf6f5_1</t>
        </is>
      </c>
      <c r="D46" t="inlineStr">
        <is>
          <t>Sun, 30 Aug 2026 17:00:00 +0900</t>
        </is>
      </c>
      <c r="E4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7">
      <c r="A47" t="n">
        <v>46</v>
      </c>
      <c r="B47" t="inlineStr">
        <is>
          <t>&amp;quot;그 어렵다는 미국 시장 문도 열었다&amp;quot; K9 자주포의 역사적 순간들</t>
        </is>
      </c>
      <c r="C47" t="inlineStr">
        <is>
          <t>https://n.news.naver.com/mnews/article/469/0000950861?sid=100</t>
        </is>
      </c>
      <c r="D47" t="inlineStr">
        <is>
          <t>Sat, 29 Aug 2026 10:00:00 +0900</t>
        </is>
      </c>
      <c r="E4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8">
      <c r="A48" t="n">
        <v>47</v>
      </c>
      <c r="B48" t="inlineStr">
        <is>
          <t>[대전 24시] 대전시, '방산 소부장 특화단지 지정' 총력</t>
        </is>
      </c>
      <c r="C48" t="inlineStr">
        <is>
          <t>https://n.news.naver.com/mnews/article/586/0000136760?sid=102</t>
        </is>
      </c>
      <c r="D48" t="inlineStr">
        <is>
          <t>Wed, 26 Aug 2026 10:10:00 +0900</t>
        </is>
      </c>
      <c r="E4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9">
      <c r="A49" t="n">
        <v>48</v>
      </c>
      <c r="B49" t="inlineStr">
        <is>
          <t>대전시-대전 국회의원, '방산소부장 특화단지 유치' 국회 토론회</t>
        </is>
      </c>
      <c r="C49" t="inlineStr">
        <is>
          <t>https://www.goodmorningcc.com/news/articleView.html?idxno=451224</t>
        </is>
      </c>
      <c r="D49" t="inlineStr">
        <is>
          <t>Tue, 25 Aug 2026 19:32:00 +0900</t>
        </is>
      </c>
      <c r="E49">
        <f>HYPERLINK("https://cdn.goodmorningcc.com/news/thumbnail/202608/451224_466459_2226_v150.jpg", IMAGE("https://cdn.goodmorningcc.com/news/thumbnail/202608/451224_466459_2226_v150.jpg"))</f>
        <v/>
      </c>
    </row>
    <row r="50">
      <c r="A50" t="n">
        <v>49</v>
      </c>
      <c r="B50" t="inlineStr">
        <is>
          <t>대전시, 방산 소부장 특화단지 지정 위한 국회 토론회 개최</t>
        </is>
      </c>
      <c r="C50" t="inlineStr">
        <is>
          <t>https://www.ccdn.co.kr/news/articleView.html?idxno=1095671</t>
        </is>
      </c>
      <c r="D50" t="inlineStr">
        <is>
          <t>Tue, 25 Aug 2026 18:23:00 +0900</t>
        </is>
      </c>
      <c r="E50">
        <f>HYPERLINK("https://cdn.ccdn.co.kr/news/thumbnail/202608/1095671_606589_1009_v150.jpg", IMAGE("https://cdn.ccdn.co.kr/news/thumbnail/202608/1095671_606589_1009_v150.jpg"))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대전시, '정부·기업·연구기관 국회에 모였다'... 방산 특화단지 필요...</t>
        </is>
      </c>
      <c r="C57" t="inlineStr">
        <is>
          <t>https://www.newsworker.co.kr/news/articleView.html?idxno=500829</t>
        </is>
      </c>
      <c r="D57" t="inlineStr">
        <is>
          <t>Tue, 25 Aug 2026 17:30:00 +0900</t>
        </is>
      </c>
      <c r="E57">
        <f>HYPERLINK("https://cdn.newsworker.co.kr/news/photo/202608/500829_500910_198.jpg", IMAGE("https://cdn.newsworker.co.kr/news/photo/202608/500829_500910_198.jpg"))</f>
        <v/>
      </c>
    </row>
    <row r="58">
      <c r="A58" t="n">
        <v>57</v>
      </c>
      <c r="B58" t="inlineStr">
        <is>
          <t>[K방산은 어떻게 세계를 뚫었나]①폴란드서 중동 거쳐 미국까지…4년 만...</t>
        </is>
      </c>
      <c r="C58" t="inlineStr">
        <is>
          <t>http://www.newstomato.com/ReadNews.aspx?no=1311286&amp;inflow=N</t>
        </is>
      </c>
      <c r="D58" t="inlineStr">
        <is>
          <t>Tue, 25 Aug 2026 17:20:00 +0900</t>
        </is>
      </c>
      <c r="E58">
        <f>HYPERLINK("https://image.newstomato.com/newsimg/2026/8/25/1311286/attach.jpg?v=202608261503", IMAGE("https://image.newstomato.com/newsimg/2026/8/25/1311286/attach.jpg?v=202608261503"))</f>
        <v/>
      </c>
    </row>
    <row r="59">
      <c r="A59" t="n">
        <v>58</v>
      </c>
      <c r="B59" t="inlineStr">
        <is>
          <t>대전, 방산 소부장 생태계 구축 나선다...국회 토론회서 경쟁력 점검</t>
        </is>
      </c>
      <c r="C59" t="inlineStr">
        <is>
          <t>https://hbnpress.com/news/view/1065597442480538</t>
        </is>
      </c>
      <c r="D59" t="inlineStr">
        <is>
          <t>Tue, 25 Aug 2026 16:34:00 +0900</t>
        </is>
      </c>
      <c r="E59">
        <f>HYPERLINK("https://hbnpress.com/news/data/20260825/p1065597442480538_273_thum.jpg", IMAGE("https://hbnpress.com/news/data/20260825/p1065597442480538_273_thum.jpg"))</f>
        <v/>
      </c>
    </row>
    <row r="60">
      <c r="A60" t="n">
        <v>59</v>
      </c>
      <c r="B60" t="inlineStr">
        <is>
          <t>대전시, 방산 소부장 특화단지 유치전...'공감대 확산' 총력</t>
        </is>
      </c>
      <c r="C60" t="inlineStr">
        <is>
          <t>https://www.newstnt.com/news/articleView.html?idxno=715180</t>
        </is>
      </c>
      <c r="D60" t="inlineStr">
        <is>
          <t>Tue, 25 Aug 2026 16:18:00 +0900</t>
        </is>
      </c>
      <c r="E60">
        <f>HYPERLINK("https://cdn.newstnt.com/news/photo/202608/715180_717908_1554.jpg", IMAGE("https://cdn.newstnt.com/news/photo/202608/715180_717908_1554.jpg"))</f>
        <v/>
      </c>
    </row>
    <row r="61">
      <c r="A61" t="n">
        <v>60</v>
      </c>
      <c r="B61" t="inlineStr">
        <is>
          <t>대전시, 방산 소부장 특화단지 지정 총력전…&amp;quot;국방 역량·과학기술 등 집...</t>
        </is>
      </c>
      <c r="C61" t="inlineStr">
        <is>
          <t>http://www.chungnamilbo.co.kr/news/articleView.html?idxno=905751</t>
        </is>
      </c>
      <c r="D61" t="inlineStr">
        <is>
          <t>Tue, 25 Aug 2026 16:12:00 +0900</t>
        </is>
      </c>
      <c r="E61">
        <f>HYPERLINK("https://cdn.chungnamilbo.co.kr/news/thumbnail/202608/905751_483940_3556_v150.jpg", IMAGE("https://cdn.chungnamilbo.co.kr/news/thumbnail/202608/905751_483940_3556_v150.jpg"))</f>
        <v/>
      </c>
    </row>
    <row r="62">
      <c r="A62" t="n">
        <v>61</v>
      </c>
      <c r="B62" t="inlineStr">
        <is>
          <t>대전, 국방 R&amp;amp;D 도시 넘어 방산 공급망 거점 노린다</t>
        </is>
      </c>
      <c r="C62" t="inlineStr">
        <is>
          <t>http://www.dailypop.kr/news/articleView.html?idxno=101907</t>
        </is>
      </c>
      <c r="D62" t="inlineStr">
        <is>
          <t>Tue, 25 Aug 2026 15:40:00 +0900</t>
        </is>
      </c>
      <c r="E62">
        <f>HYPERLINK("http://www.dailypop.kr/news/thumbnail/202608/101907_169232_1125_v150.jpg", IMAGE("http://www.dailypop.kr/news/thumbnail/202608/101907_169232_1125_v150.jpg"))</f>
        <v/>
      </c>
    </row>
    <row r="63">
      <c r="A63" t="n">
        <v>62</v>
      </c>
      <c r="B63" t="inlineStr">
        <is>
          <t>대전, 국회서 방산 소부장 특화단지 최적지 알려</t>
        </is>
      </c>
      <c r="C63" t="inlineStr">
        <is>
          <t>https://n.news.naver.com/mnews/article/011/0004654970?sid=102</t>
        </is>
      </c>
      <c r="D63" t="inlineStr">
        <is>
          <t>Tue, 25 Aug 2026 15:33:00 +0900</t>
        </is>
      </c>
      <c r="E6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4">
      <c r="A64" t="n">
        <v>63</v>
      </c>
      <c r="B64" t="inlineStr">
        <is>
          <t>“첨단 국방 중심지로”…대전시, 방산 소부장 특화단지 지정 논의 토론...</t>
        </is>
      </c>
      <c r="C64" t="inlineStr">
        <is>
          <t>https://www.sentv.co.kr/article/view/sentv202608250155</t>
        </is>
      </c>
      <c r="D64" t="inlineStr">
        <is>
          <t>Tue, 25 Aug 2026 15:24:00 +0900</t>
        </is>
      </c>
      <c r="E64">
        <f>HYPERLINK("https://www.sentv.co.kr/data/sentv/image/2026/08/25/sentv20260825000143.jpg", IMAGE("https://www.sentv.co.kr/data/sentv/image/2026/08/25/sentv20260825000143.jpg"))</f>
        <v/>
      </c>
    </row>
    <row r="65">
      <c r="A65" t="n">
        <v>64</v>
      </c>
      <c r="B65" t="inlineStr">
        <is>
          <t>대전시, 'K-방산 심장' 정조준…국방 소부장 특화단지 유치 역량 모은다</t>
        </is>
      </c>
      <c r="C65" t="inlineStr">
        <is>
          <t>https://n.news.naver.com/mnews/article/030/0003460160?sid=102</t>
        </is>
      </c>
      <c r="D65" t="inlineStr">
        <is>
          <t>Tue, 25 Aug 2026 14:01:00 +0900</t>
        </is>
      </c>
      <c r="E6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6">
      <c r="A66" t="n">
        <v>65</v>
      </c>
      <c r="B66" t="inlineStr">
        <is>
          <t>한화 K9 자주포, 美 뚫었다… 獨·英 기업 제치고 ‘차륜형’ 수출</t>
        </is>
      </c>
      <c r="C66" t="inlineStr">
        <is>
          <t>https://n.news.naver.com/mnews/article/023/0003993895?sid=101</t>
        </is>
      </c>
      <c r="D66" t="inlineStr">
        <is>
          <t>Thu, 20 Aug 2026 00:47:00 +0900</t>
        </is>
      </c>
      <c r="E6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7">
      <c r="A67" t="n">
        <v>66</v>
      </c>
      <c r="B67" t="inlineStr">
        <is>
          <t>한화, 美 육군 뚫었다…K9 자주포 계약금만 '무려'</t>
        </is>
      </c>
      <c r="C67" t="inlineStr">
        <is>
          <t>https://n.news.naver.com/mnews/article/374/0000528273?sid=101</t>
        </is>
      </c>
      <c r="D67" t="inlineStr">
        <is>
          <t>Wed, 19 Aug 2026 18:28:00 +0900</t>
        </is>
      </c>
      <c r="E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8">
      <c r="A68" t="n">
        <v>67</v>
      </c>
      <c r="B68" t="inlineStr">
        <is>
          <t>美 '함정 건조' 문 열리나···K조선에 남을 진짜 실익은?</t>
        </is>
      </c>
      <c r="C68" t="inlineStr">
        <is>
          <t>http://www.enewstoday.co.kr/news/articleView.html?idxno=2460421</t>
        </is>
      </c>
      <c r="D68" t="inlineStr">
        <is>
          <t>Wed, 19 Aug 2026 08:00:00 +0900</t>
        </is>
      </c>
      <c r="E68">
        <f>HYPERLINK("https://cdn.enewstoday.co.kr/news/thumbnail/202608/2460421_1301267_1921_v150.jpg", IMAGE("https://cdn.enewstoday.co.kr/news/thumbnail/202608/2460421_1301267_1921_v150.jpg"))</f>
        <v/>
      </c>
    </row>
    <row r="69">
      <c r="A69" t="n">
        <v>68</v>
      </c>
      <c r="B69" t="inlineStr">
        <is>
          <t>‘20조’ 美 함정 MRO 시장⋯ K-조선, 7함대 중심 낙수효과 커진다</t>
        </is>
      </c>
      <c r="C69" t="inlineStr">
        <is>
          <t>https://www.viva100.com/article/20260817500461</t>
        </is>
      </c>
      <c r="D69" t="inlineStr">
        <is>
          <t>Mon, 17 Aug 2026 15:32:00 +0900</t>
        </is>
      </c>
      <c r="E69">
        <f>HYPERLINK("https://stqnq5ux4599.edge.naverncp.com/data2//content/image/2026/08/17/.cache/512/20260817500416.jpg?v=20261003043928", IMAGE("https://stqnq5ux4599.edge.naverncp.com/data2//content/image/2026/08/17/.cache/512/20260817500416.jpg?v=20261003043928"))</f>
        <v/>
      </c>
    </row>
    <row r="70">
      <c r="A70" t="n">
        <v>69</v>
      </c>
      <c r="B70" t="inlineStr">
        <is>
          <t>피라미드 상공까지 열어준 이집트... K9으로 쌓인 신뢰의 무게</t>
        </is>
      </c>
      <c r="C70" t="inlineStr">
        <is>
          <t>https://n.news.naver.com/mnews/article/469/0000948256?sid=100</t>
        </is>
      </c>
      <c r="D70" t="inlineStr">
        <is>
          <t>Sun, 16 Aug 2026 10:00:00 +0900</t>
        </is>
      </c>
      <c r="E7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1">
      <c r="A71" t="n">
        <v>70</v>
      </c>
      <c r="B71" t="inlineStr">
        <is>
          <t>한국서 美 군함 만들 길 열렸다…트럼프, 최대 2척 해외 건조 허용</t>
        </is>
      </c>
      <c r="C71" t="inlineStr">
        <is>
          <t>https://n.news.naver.com/mnews/article/448/0000633625?sid=101</t>
        </is>
      </c>
      <c r="D71" t="inlineStr">
        <is>
          <t>Fri, 14 Aug 2026 21:40:00 +0900</t>
        </is>
      </c>
      <c r="E71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2">
      <c r="A72" t="n">
        <v>71</v>
      </c>
      <c r="B72" t="inlineStr">
        <is>
          <t>한화, KAI 이어 오스탈까지…확대되는 ‘한국판 록히드마틴’ 구상</t>
        </is>
      </c>
      <c r="C72" t="inlineStr">
        <is>
          <t>https://www.g-enews.com/view.php?ud=202608121305118853ea14faf6f5_1</t>
        </is>
      </c>
      <c r="D72" t="inlineStr">
        <is>
          <t>Wed, 12 Aug 2026 14:10:00 +0900</t>
        </is>
      </c>
      <c r="E7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>
        <f>HYPERLINK("https://img.asiatoday.co.kr/file/2026y/08m/25d/20260825010008064_1787563928_1.png", IMAGE("https://img.asiatoday.co.kr/file/2026y/08m/25d/20260825010008064_1787563928_1.png"))</f>
        <v/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HYPERLINK("https://cdn.m-i.kr/news/photo/202608/1404584_1192641_483.jpg", IMAGE("https://cdn.m-i.kr/news/photo/202608/1404584_1192641_483.jpg"))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HYPERLINK("https://stqnq5ux4599.edge.naverncp.com/data2//content/image/2026/08/19/.cache/512/20260819500011.png?v=20261003044020", IMAGE("https://stqnq5ux4599.edge.naverncp.com/data2//content/image/2026/08/19/.cache/512/20260819500011.png?v=20261003044020"))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HYPERLINK("https://stqnq5ux4599.edge.naverncp.com/data2//content/image/2026/08/12/20260812500674.webp?v=20261003044031", IMAGE("https://stqnq5ux4599.edge.naverncp.com/data2//content/image/2026/08/12/20260812500674.webp?v=20261003044031"))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K-방산, AI 파트너 확보전…기술 협력망이 새 경쟁력</t>
        </is>
      </c>
      <c r="C104" t="inlineStr">
        <is>
          <t>https://www.g-enews.com/view.php?ud=202607290914253246ea14faf6f5_1</t>
        </is>
      </c>
      <c r="D104" t="inlineStr">
        <is>
          <t>Wed, 29 Jul 2026 13:12:00 +0900</t>
        </is>
      </c>
      <c r="E10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HYPERLINK("https://stqnq5ux4599.edge.naverncp.com/data2//content/image/2026/07/26/.cache/512/20260726500497.jpg?v=20261003044058", IMAGE("https://stqnq5ux4599.edge.naverncp.com/data2//content/image/2026/07/26/.cache/512/20260726500497.jpg?v=20261003044058"))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전북대, AI-무인전투 이끌 ‘K-방산 인재’ 650명 키운다</t>
        </is>
      </c>
      <c r="C107" t="inlineStr">
        <is>
          <t>https://n.news.naver.com/mnews/article/020/0003736186?sid=102</t>
        </is>
      </c>
      <c r="D107" t="inlineStr">
        <is>
          <t>Fri, 24 Jul 2026 04:33:00 +0900</t>
        </is>
      </c>
      <c r="E10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HYPERLINK("https://stqnq5ux4599.edge.naverncp.com/data2//content/image/2026/07/12/.cache/512/20260712500405.jpg?v=20261003044132", IMAGE("https://stqnq5ux4599.edge.naverncp.com/data2//content/image/2026/07/12/.cache/512/20260712500405.jpg?v=20261003044132"))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전북대 방산AI부트캠프 소속 학생들 우수성 입증</t>
        </is>
      </c>
      <c r="C127" t="inlineStr">
        <is>
          <t>http://www.jeollailbo.com/news/articleView.html?idxno=807915</t>
        </is>
      </c>
      <c r="D127" t="inlineStr">
        <is>
          <t>Tue, 11 Aug 2026 17:18:00 +0900</t>
        </is>
      </c>
      <c r="E127">
        <f>HYPERLINK("https://cdn.jeollailbo.com/news/thumbnail/202608/807915_195513_1937_v150.jpg", IMAGE("https://cdn.jeollailbo.com/news/thumbnail/202608/807915_195513_1937_v150.jpg"))</f>
        <v/>
      </c>
    </row>
    <row r="128">
      <c r="A128" t="n">
        <v>127</v>
      </c>
      <c r="B128" t="inlineStr">
        <is>
          <t>[전북24시] 전북대 반도체공동연구소, 반도체 인재양성 전공경계 허문다</t>
        </is>
      </c>
      <c r="C128" t="inlineStr">
        <is>
          <t>https://n.news.naver.com/mnews/article/586/0000135737?sid=102</t>
        </is>
      </c>
      <c r="D128" t="inlineStr">
        <is>
          <t>Tue, 11 Aug 2026 17:18:00 +0900</t>
        </is>
      </c>
      <c r="E12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HYPERLINK("https://cdn.m-i.kr/news/photo/202608/1405767_1193937_3424.jpg", IMAGE("https://cdn.m-i.kr/news/photo/202608/1405767_1193937_3424.jpg"))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HYPERLINK("https://cdn.m-i.kr/news/photo/202608/1400586_1188464_1020.jpg", IMAGE("https://cdn.m-i.kr/news/photo/202608/1400586_1188464_1020.jpg"))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HYPERLINK("https://cdn.m-i.kr/news/photo/202607/1397184_1185010_558.jpg", IMAGE("https://cdn.m-i.kr/news/photo/202607/1397184_1185010_558.jpg"))</f>
        <v/>
      </c>
    </row>
    <row r="182">
      <c r="A182" t="n">
        <v>181</v>
      </c>
      <c r="B182" t="inlineStr">
        <is>
          <t>[무기 된 AI, K방산 좌표]①방산 4社 AI 무장 끝냈지만…낡은 인증제도가...</t>
        </is>
      </c>
      <c r="C182" t="inlineStr">
        <is>
          <t>https://n.news.naver.com/mnews/article/277/0005796140?sid=101</t>
        </is>
      </c>
      <c r="D182" t="inlineStr">
        <is>
          <t>Wed, 29 Jul 2026 10:47:00 +0900</t>
        </is>
      </c>
      <c r="E1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3">
      <c r="A183" t="n">
        <v>182</v>
      </c>
      <c r="B183" t="inlineStr">
        <is>
          <t>“한일, 해양수송로 공유… 분쟁시 운명공동체 될 것”</t>
        </is>
      </c>
      <c r="C183" t="inlineStr">
        <is>
          <t>https://n.news.naver.com/mnews/article/020/0003737284?sid=104</t>
        </is>
      </c>
      <c r="D183" t="inlineStr">
        <is>
          <t>Wed, 29 Jul 2026 04:36:00 +0900</t>
        </is>
      </c>
      <c r="E18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4">
      <c r="A184" t="n">
        <v>183</v>
      </c>
      <c r="B184" t="inlineStr">
        <is>
          <t>[기획]북미서 고배 마셨지만…HD현대·한화, 남미 함정 수요 정조준</t>
        </is>
      </c>
      <c r="C184" t="inlineStr">
        <is>
          <t>https://www.m-i.kr/news/articleView.html?idxno=1395625</t>
        </is>
      </c>
      <c r="D184" t="inlineStr">
        <is>
          <t>Mon, 27 Jul 2026 15:38:00 +0900</t>
        </is>
      </c>
      <c r="E184">
        <f>HYPERLINK("https://cdn.m-i.kr/news/photo/202607/1395625_1183389_4926.jpg", IMAGE("https://cdn.m-i.kr/news/photo/202607/1395625_1183389_4926.jpg"))</f>
        <v/>
      </c>
    </row>
    <row r="185">
      <c r="A185" t="n">
        <v>184</v>
      </c>
      <c r="B185" t="inlineStr">
        <is>
          <t>포티투마루, ‘K-팔란티어’ 육성 위한 ‘국방 AI 생태계’ 전략 제시</t>
        </is>
      </c>
      <c r="C185" t="inlineStr">
        <is>
          <t>https://www.etoday.co.kr/news/view/2605457</t>
        </is>
      </c>
      <c r="D185" t="inlineStr">
        <is>
          <t>Tue, 21 Jul 2026 08:32:00 +0900</t>
        </is>
      </c>
      <c r="E185">
        <f>HYPERLINK("https://img.etoday.co.kr/pto_db/2026/07/20260721082646_2361751_1000_276.png", IMAGE("https://img.etoday.co.kr/pto_db/2026/07/20260721082646_2361751_1000_276.png"))</f>
        <v/>
      </c>
    </row>
    <row r="186">
      <c r="A186" t="n">
        <v>185</v>
      </c>
      <c r="B186" t="inlineStr">
        <is>
          <t>[기획]中 &amp;quot;美 대신 우리와&amp;quot;…K-조선, 글로벌 해양 안보 핵심축 부상</t>
        </is>
      </c>
      <c r="C186" t="inlineStr">
        <is>
          <t>https://www.m-i.kr/news/articleView.html?idxno=1392350</t>
        </is>
      </c>
      <c r="D186" t="inlineStr">
        <is>
          <t>Sun, 19 Jul 2026 13:00:00 +0900</t>
        </is>
      </c>
      <c r="E186">
        <f>HYPERLINK("https://cdn.m-i.kr/news/photo/202607/1392350_1180000_1950.jpg", IMAGE("https://cdn.m-i.kr/news/photo/202607/1392350_1180000_1950.jpg"))</f>
        <v/>
      </c>
    </row>
    <row r="187">
      <c r="A187" t="n">
        <v>186</v>
      </c>
      <c r="B187" t="inlineStr">
        <is>
          <t>KAI 인수 침 바르는 한화, 걸림돌 뭐가 있을까 [이슈체크]</t>
        </is>
      </c>
      <c r="C187" t="inlineStr">
        <is>
          <t>https://news.mtn.co.kr/news-detail/2026071509051891124</t>
        </is>
      </c>
      <c r="D187" t="inlineStr">
        <is>
          <t>Thu, 16 Jul 2026 09:40:00 +0900</t>
        </is>
      </c>
      <c r="E18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8">
      <c r="A188" t="n">
        <v>187</v>
      </c>
      <c r="B188" t="inlineStr">
        <is>
          <t>잇단 수출 실패... 한국 잠수함 생태계 '일감 절벽' 경고등</t>
        </is>
      </c>
      <c r="C188" t="inlineStr">
        <is>
          <t>https://n.news.naver.com/mnews/article/469/0000942297?sid=101</t>
        </is>
      </c>
      <c r="D188" t="inlineStr">
        <is>
          <t>Wed, 15 Jul 2026 04:30:00 +0900</t>
        </is>
      </c>
      <c r="E18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9">
      <c r="A189" t="n">
        <v>188</v>
      </c>
      <c r="B189" t="inlineStr">
        <is>
          <t>[이슈체크]한화, KAI 인수...K-방산 판도 변화</t>
        </is>
      </c>
      <c r="C189" t="inlineStr">
        <is>
          <t>http://www.hansbiz.co.kr/news/articleView.html?idxno=849986</t>
        </is>
      </c>
      <c r="D189" t="inlineStr">
        <is>
          <t>Mon, 13 Jul 2026 16:32:00 +0900</t>
        </is>
      </c>
      <c r="E189">
        <f>HYPERLINK("https://cdn.hansbiz.co.kr/news/thumbnail/202607/849986_866987_384_v150.jpg", IMAGE("https://cdn.hansbiz.co.kr/news/thumbnail/202607/849986_866987_384_v150.jpg"))</f>
        <v/>
      </c>
    </row>
    <row r="190">
      <c r="A190" t="n">
        <v>189</v>
      </c>
      <c r="B190" t="inlineStr">
        <is>
          <t>곧 전장 뛰어들 피지컬 AI…“자율전투로 기술난제 극복”</t>
        </is>
      </c>
      <c r="C190" t="inlineStr">
        <is>
          <t>https://n.news.naver.com/mnews/article/011/0004603882?sid=100</t>
        </is>
      </c>
      <c r="D190" t="inlineStr">
        <is>
          <t>Thu, 26 Mar 2026 17:46:00 +0900</t>
        </is>
      </c>
      <c r="E19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1">
      <c r="A191" t="n">
        <v>190</v>
      </c>
      <c r="B191" t="inlineStr">
        <is>
          <t>[본지-대교협 공동기획中] 생성형 AI 기반 수업 혁신 확산 속 &amp;quot;인간 고유...</t>
        </is>
      </c>
      <c r="C191" t="inlineStr">
        <is>
          <t>https://news.unn.net/news/articleView.html?idxno=593399</t>
        </is>
      </c>
      <c r="D191" t="inlineStr">
        <is>
          <t>Mon, 15 Jun 2026 09:00:00 +0900</t>
        </is>
      </c>
      <c r="E191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2026-10-02T19:43:43Z</dcterms:created>
  <dcterms:modified xsi:type="dcterms:W3CDTF">2026-10-02T19:43:43Z</dcterms:modified>
</cp:coreProperties>
</file>