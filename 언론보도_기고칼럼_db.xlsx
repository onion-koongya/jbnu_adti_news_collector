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방산 완전체 만드는 현대차그룹…현대로템 영토 확장 승부수</t>
        </is>
      </c>
      <c r="C22" t="inlineStr">
        <is>
          <t>https://www.m-i.kr/news/articleView.html?idxno=1404584</t>
        </is>
      </c>
      <c r="D22" t="inlineStr">
        <is>
          <t>Sun, 23 Aug 2026 13:00:00 +0900</t>
        </is>
      </c>
      <c r="E22">
        <f>HYPERLINK("https://cdn.m-i.kr/news/thumbnail/202608/1404584_1192641_483_v150.jpg", IMAGE("https://cdn.m-i.kr/news/thumbnail/202608/1404584_1192641_483_v150.jpg"))</f>
        <v/>
      </c>
    </row>
    <row r="23">
      <c r="A23" t="n">
        <v>22</v>
      </c>
      <c r="B23" t="inlineStr">
        <is>
          <t>1.9조 전자전기 사업 ‘흔들’…방산 비리 의혹에 지연 우려</t>
        </is>
      </c>
      <c r="C23" t="inlineStr">
        <is>
          <t>http://www.newstomato.com/ReadNews.aspx?no=1310971&amp;inflow=N</t>
        </is>
      </c>
      <c r="D23" t="inlineStr">
        <is>
          <t>Fri, 21 Aug 2026 15:06:00 +0900</t>
        </is>
      </c>
      <c r="E23">
        <f>HYPERLINK("https://image.newstomato.com/newsimg/2026/8/21/1310971/attach.jpg?v=202608211505", IMAGE("https://image.newstomato.com/newsimg/2026/8/21/1310971/attach.jpg?v=202608211505"))</f>
        <v/>
      </c>
    </row>
    <row r="24">
      <c r="A24" t="n">
        <v>23</v>
      </c>
      <c r="B24" t="inlineStr">
        <is>
          <t>전북대학교, 탈레스코리아 'STEM for ALL' 국내 첫 장학생 배출</t>
        </is>
      </c>
      <c r="C24" t="inlineStr">
        <is>
          <t>https://www.lecturernews.com/news/articleView.html?idxno=208980</t>
        </is>
      </c>
      <c r="D24" t="inlineStr">
        <is>
          <t>Fri, 21 Aug 2026 08:20:00 +0900</t>
        </is>
      </c>
      <c r="E24">
        <f>HYPERLINK("https://cdn.lecturernews.com/news/thumbnail/202608/208980_478004_3519_v150.jpg", IMAGE("https://cdn.lecturernews.com/news/thumbnail/202608/208980_478004_3519_v150.jpg"))</f>
        <v/>
      </c>
    </row>
    <row r="25">
      <c r="A25" t="n">
        <v>24</v>
      </c>
      <c r="B25" t="inlineStr">
        <is>
          <t>한화 K9 자주포, 美 뚫었다… 獨·英 기업 제치고 ‘차륜형’ 수출</t>
        </is>
      </c>
      <c r="C25" t="inlineStr">
        <is>
          <t>https://n.news.naver.com/mnews/article/023/0003993895?sid=101</t>
        </is>
      </c>
      <c r="D25" t="inlineStr">
        <is>
          <t>Thu, 20 Aug 2026 00:47:00 +0900</t>
        </is>
      </c>
      <c r="E25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26">
      <c r="A26" t="n">
        <v>25</v>
      </c>
      <c r="B26" t="inlineStr">
        <is>
          <t>K9 미국에 첫 수출…한화, 10조까지 넘본다</t>
        </is>
      </c>
      <c r="C26" t="inlineStr">
        <is>
          <t>https://n.news.naver.com/mnews/article/025/0003545459?sid=101</t>
        </is>
      </c>
      <c r="D26" t="inlineStr">
        <is>
          <t>Thu, 20 Aug 2026 00:02:00 +0900</t>
        </is>
      </c>
      <c r="E2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27">
      <c r="A27" t="n">
        <v>26</v>
      </c>
      <c r="B27" t="inlineStr">
        <is>
          <t>‘분당 9발’로 미국 사로잡은 K9 자주포</t>
        </is>
      </c>
      <c r="C27" t="inlineStr">
        <is>
          <t>https://n.news.naver.com/mnews/article/449/0000357459?sid=100</t>
        </is>
      </c>
      <c r="D27" t="inlineStr">
        <is>
          <t>Wed, 19 Aug 2026 19:53:00 +0900</t>
        </is>
      </c>
      <c r="E2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28">
      <c r="A28" t="n">
        <v>27</v>
      </c>
      <c r="B28" t="inlineStr">
        <is>
          <t>한화, 美 육군 뚫었다…K9 자주포 계약금만 '무려'</t>
        </is>
      </c>
      <c r="C28" t="inlineStr">
        <is>
          <t>https://n.news.naver.com/mnews/article/374/0000528273?sid=101</t>
        </is>
      </c>
      <c r="D28" t="inlineStr">
        <is>
          <t>Wed, 19 Aug 2026 18:28:00 +0900</t>
        </is>
      </c>
      <c r="E2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29">
      <c r="A29" t="n">
        <v>28</v>
      </c>
      <c r="B29" t="inlineStr">
        <is>
          <t>K방산 미국 시장 뚫었다…한화 K9, 美육군 차세대 자주포 계약</t>
        </is>
      </c>
      <c r="C29" t="inlineStr">
        <is>
          <t>https://n.news.naver.com/mnews/article/025/0003545338?sid=101</t>
        </is>
      </c>
      <c r="D29" t="inlineStr">
        <is>
          <t>Wed, 19 Aug 2026 14:50:00 +0900</t>
        </is>
      </c>
      <c r="E2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30">
      <c r="A30" t="n">
        <v>29</v>
      </c>
      <c r="B30" t="inlineStr">
        <is>
          <t>협약서가 ‘인재’로 돌아왔다…전북대 방산인재 육성 첫 결실</t>
        </is>
      </c>
      <c r="C30" t="inlineStr">
        <is>
          <t>https://www.viva100.com/article/20260819500013</t>
        </is>
      </c>
      <c r="D30" t="inlineStr">
        <is>
          <t>Wed, 19 Aug 2026 08:38:00 +0900</t>
        </is>
      </c>
      <c r="E30">
        <f>HYPERLINK("https://stqnq5ux4599.edge.naverncp.com/data2//content/image/2026/08/19/.cache/512/20260819500011.png?v=20260824001032", IMAGE("https://stqnq5ux4599.edge.naverncp.com/data2//content/image/2026/08/19/.cache/512/20260819500011.png?v=20260824001032"))</f>
        <v/>
      </c>
    </row>
    <row r="31">
      <c r="A31" t="n">
        <v>30</v>
      </c>
      <c r="B31" t="inlineStr">
        <is>
          <t>美 '함정 건조' 문 열리나···K조선에 남을 진짜 실익은?</t>
        </is>
      </c>
      <c r="C31" t="inlineStr">
        <is>
          <t>http://www.enewstoday.co.kr/news/articleView.html?idxno=2460421</t>
        </is>
      </c>
      <c r="D31" t="inlineStr">
        <is>
          <t>Wed, 19 Aug 2026 08:00:00 +0900</t>
        </is>
      </c>
      <c r="E31">
        <f>HYPERLINK("https://cdn.enewstoday.co.kr/news/thumbnail/202608/2460421_1301267_1921_v150.jpg", IMAGE("https://cdn.enewstoday.co.kr/news/thumbnail/202608/2460421_1301267_1921_v150.jpg"))</f>
        <v/>
      </c>
    </row>
    <row r="32">
      <c r="A32" t="n">
        <v>31</v>
      </c>
      <c r="B32" t="inlineStr">
        <is>
          <t>‘20조’ 美 함정 MRO 시장⋯ K-조선, 7함대 중심 낙수효과 커진다</t>
        </is>
      </c>
      <c r="C32" t="inlineStr">
        <is>
          <t>https://www.viva100.com/article/20260817500461</t>
        </is>
      </c>
      <c r="D32" t="inlineStr">
        <is>
          <t>Mon, 17 Aug 2026 15:32:00 +0900</t>
        </is>
      </c>
      <c r="E32">
        <f>HYPERLINK("https://stqnq5ux4599.edge.naverncp.com/data2//content/image/2026/08/17/.cache/512/20260817500416.jpg?v=20260824001050", IMAGE("https://stqnq5ux4599.edge.naverncp.com/data2//content/image/2026/08/17/.cache/512/20260817500416.jpg?v=20260824001050"))</f>
        <v/>
      </c>
    </row>
    <row r="33">
      <c r="A33" t="n">
        <v>32</v>
      </c>
      <c r="B33" t="inlineStr">
        <is>
          <t>피라미드 상공까지 열어준 이집트... K9으로 쌓인 신뢰의 무게</t>
        </is>
      </c>
      <c r="C33" t="inlineStr">
        <is>
          <t>https://n.news.naver.com/mnews/article/469/0000948256?sid=100</t>
        </is>
      </c>
      <c r="D33" t="inlineStr">
        <is>
          <t>Sun, 16 Aug 2026 10:00:00 +0900</t>
        </is>
      </c>
      <c r="E3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34">
      <c r="A34" t="n">
        <v>33</v>
      </c>
      <c r="B34" t="inlineStr">
        <is>
          <t>전북대학교 방산AI부트캠프, 전국 자율주행 경진대회서 대상·동상 동시...</t>
        </is>
      </c>
      <c r="C34" t="inlineStr">
        <is>
          <t>https://www.lecturernews.com/news/articleView.html?idxno=208485</t>
        </is>
      </c>
      <c r="D34" t="inlineStr">
        <is>
          <t>Sun, 16 Aug 2026 07:16:00 +0900</t>
        </is>
      </c>
      <c r="E34">
        <f>HYPERLINK("https://cdn.lecturernews.com/news/thumbnail/202608/208485_477349_3721_v150.jpg", IMAGE("https://cdn.lecturernews.com/news/thumbnail/202608/208485_477349_3721_v150.jpg"))</f>
        <v/>
      </c>
    </row>
    <row r="35">
      <c r="A35" t="n">
        <v>34</v>
      </c>
      <c r="B35" t="inlineStr">
        <is>
          <t>전북대학교, 세계 명문대·글로벌 기업 손잡고 '글로벌 산학연 허브' 도...</t>
        </is>
      </c>
      <c r="C35" t="inlineStr">
        <is>
          <t>https://www.lecturernews.com/news/articleView.html?idxno=208484</t>
        </is>
      </c>
      <c r="D35" t="inlineStr">
        <is>
          <t>Fri, 14 Aug 2026 20:30:00 +0900</t>
        </is>
      </c>
      <c r="E35">
        <f>HYPERLINK("https://cdn.lecturernews.com/news/thumbnail/202608/208484_477348_3537_v150.jpg", IMAGE("https://cdn.lecturernews.com/news/thumbnail/202608/208484_477348_3537_v150.jpg"))</f>
        <v/>
      </c>
    </row>
    <row r="36">
      <c r="A36" t="n">
        <v>35</v>
      </c>
      <c r="B36" t="inlineStr">
        <is>
          <t>전북대, 전국 AI 자율주행 경진대회 석권</t>
        </is>
      </c>
      <c r="C36" t="inlineStr">
        <is>
          <t>https://n.news.naver.com/mnews/article/056/0012236878?sid=105</t>
        </is>
      </c>
      <c r="D36" t="inlineStr">
        <is>
          <t>Thu, 13 Aug 2026 08:47:00 +0900</t>
        </is>
      </c>
      <c r="E36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37">
      <c r="A37" t="n">
        <v>36</v>
      </c>
      <c r="B37" t="inlineStr">
        <is>
          <t>필리 이어 오스탈까지… 한화, 美 해군•핵잠 노린다</t>
        </is>
      </c>
      <c r="C37" t="inlineStr">
        <is>
          <t>https://www.viva100.com/article/20260812500685</t>
        </is>
      </c>
      <c r="D37" t="inlineStr">
        <is>
          <t>Wed, 12 Aug 2026 15:00:00 +0900</t>
        </is>
      </c>
      <c r="E37">
        <f>HYPERLINK("https://stqnq5ux4599.edge.naverncp.com/data2//content/image/2026/08/12/20260812500674.webp?v=20260824001100", IMAGE("https://stqnq5ux4599.edge.naverncp.com/data2//content/image/2026/08/12/20260812500674.webp?v=20260824001100"))</f>
        <v/>
      </c>
    </row>
    <row r="38">
      <c r="A38" t="n">
        <v>37</v>
      </c>
      <c r="B38" t="inlineStr">
        <is>
          <t>한화, KAI 이어 오스탈까지…확대되는 ‘한국판 록히드마틴’ 구상</t>
        </is>
      </c>
      <c r="C38" t="inlineStr">
        <is>
          <t>https://www.g-enews.com/view.php?ud=202608121305118853ea14faf6f5_1</t>
        </is>
      </c>
      <c r="D38" t="inlineStr">
        <is>
          <t>Wed, 12 Aug 2026 14:10:00 +0900</t>
        </is>
      </c>
      <c r="E3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39">
      <c r="A39" t="n">
        <v>38</v>
      </c>
      <c r="B39" t="inlineStr">
        <is>
          <t>필리조선소 다음은 오스탈…한화, 美 군함시장 정조준</t>
        </is>
      </c>
      <c r="C39" t="inlineStr">
        <is>
          <t>https://www.newsway.co.kr/news/view?ud=2026081213102422886</t>
        </is>
      </c>
      <c r="D39" t="inlineStr">
        <is>
          <t>Wed, 12 Aug 2026 13:32:00 +0900</t>
        </is>
      </c>
      <c r="E39">
        <f>HYPERLINK("https://nimage.newsway.co.kr/photo/2026/01/09/20260109000008_1200.jpg", IMAGE("https://nimage.newsway.co.kr/photo/2026/01/09/20260109000008_1200.jpg"))</f>
        <v/>
      </c>
    </row>
    <row r="40">
      <c r="A40" t="n">
        <v>39</v>
      </c>
      <c r="B40" t="inlineStr">
        <is>
          <t>전북대 방산AI부트캠프 소속 학생들 우수성 입증</t>
        </is>
      </c>
      <c r="C40" t="inlineStr">
        <is>
          <t>http://www.jeollailbo.com/news/articleView.html?idxno=807915</t>
        </is>
      </c>
      <c r="D40" t="inlineStr">
        <is>
          <t>Tue, 11 Aug 2026 17:18:00 +0900</t>
        </is>
      </c>
      <c r="E40">
        <f>HYPERLINK("https://cdn.jeollailbo.com/news/thumbnail/202608/807915_195513_1937_v150.jpg", IMAGE("https://cdn.jeollailbo.com/news/thumbnail/202608/807915_195513_1937_v150.jpg"))</f>
        <v/>
      </c>
    </row>
    <row r="41">
      <c r="A41" t="n">
        <v>40</v>
      </c>
      <c r="B41" t="inlineStr">
        <is>
          <t>[전북24시] 전북대 반도체공동연구소, 반도체 인재양성 전공경계 허문다</t>
        </is>
      </c>
      <c r="C41" t="inlineStr">
        <is>
          <t>https://n.news.naver.com/mnews/article/586/0000135737?sid=102</t>
        </is>
      </c>
      <c r="D41" t="inlineStr">
        <is>
          <t>Tue, 11 Aug 2026 17:18:00 +0900</t>
        </is>
      </c>
      <c r="E4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42">
      <c r="A42" t="n">
        <v>41</v>
      </c>
      <c r="B42" t="inlineStr">
        <is>
          <t>전북대 '휘둥그레' 팀, 대학생 AI 자율주행 경진대회 대상</t>
        </is>
      </c>
      <c r="C42" t="inlineStr">
        <is>
          <t>https://n.news.naver.com/mnews/article/421/0009108391?sid=102</t>
        </is>
      </c>
      <c r="D42" t="inlineStr">
        <is>
          <t>Tue, 11 Aug 2026 16:29:00 +0900</t>
        </is>
      </c>
      <c r="E4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43">
      <c r="A43" t="n">
        <v>42</v>
      </c>
      <c r="B43" t="inlineStr">
        <is>
          <t>전북대, 자율주행 전국대회서 '대상'…AI·미래차 기술력 입증</t>
        </is>
      </c>
      <c r="C43" t="inlineStr">
        <is>
          <t>https://n.news.naver.com/mnews/article/629/0000523577?sid=102</t>
        </is>
      </c>
      <c r="D43" t="inlineStr">
        <is>
          <t>Tue, 11 Aug 2026 16:22:00 +0900</t>
        </is>
      </c>
      <c r="E4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44">
      <c r="A44" t="n">
        <v>43</v>
      </c>
      <c r="B44" t="inlineStr">
        <is>
          <t>K-방산의 아픈 손 KAI…'공공 틀' 갇혀 자생력 한계</t>
        </is>
      </c>
      <c r="C44" t="inlineStr">
        <is>
          <t>https://news.einfomax.co.kr/news/articleView.html?idxno=4429567</t>
        </is>
      </c>
      <c r="D44" t="inlineStr">
        <is>
          <t>Tue, 11 Aug 2026 13:12:00 +0900</t>
        </is>
      </c>
      <c r="E44">
        <f>HYPERLINK("https://cdn.news.einfomax.co.kr/news/thumbnail/202608/4429567_336147_562_v150.jpg", IMAGE("https://cdn.news.einfomax.co.kr/news/thumbnail/202608/4429567_336147_562_v150.jpg"))</f>
        <v/>
      </c>
    </row>
    <row r="45">
      <c r="A45" t="n">
        <v>44</v>
      </c>
      <c r="B45" t="inlineStr">
        <is>
          <t>전북대 방산AI부트캠프사업단 자율주행 경진대회 대상/동상 석권.. AI자...</t>
        </is>
      </c>
      <c r="C45" t="inlineStr">
        <is>
          <t>https://www.veritas-a.com/news/articleView.html?idxno=622755</t>
        </is>
      </c>
      <c r="D45" t="inlineStr">
        <is>
          <t>Tue, 11 Aug 2026 12:30:00 +0900</t>
        </is>
      </c>
      <c r="E45">
        <f>HYPERLINK("https://cdn.veritas-a.com/news/thumbnail/202608/622755_535846_2732_v150.jpg", IMAGE("https://cdn.veritas-a.com/news/thumbnail/202608/622755_535846_2732_v150.jpg"))</f>
        <v/>
      </c>
    </row>
    <row r="46">
      <c r="A46" t="n">
        <v>45</v>
      </c>
      <c r="B46" t="inlineStr">
        <is>
          <t>전북대, 전국 대학생 AI 자율주행 경진대회서 대상·동상</t>
        </is>
      </c>
      <c r="C46" t="inlineStr">
        <is>
          <t>https://n.news.naver.com/mnews/article/003/0014119994?sid=102</t>
        </is>
      </c>
      <c r="D46" t="inlineStr">
        <is>
          <t>Tue, 11 Aug 2026 11:34:00 +0900</t>
        </is>
      </c>
      <c r="E46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47">
      <c r="A47" t="n">
        <v>46</v>
      </c>
      <c r="B47" t="inlineStr">
        <is>
          <t>한화, KAI ‘인수’ 성큼…완주까지 넘어야 할 산</t>
        </is>
      </c>
      <c r="C47" t="inlineStr">
        <is>
          <t>http://www.newstomato.com/ReadNews.aspx?no=1309851&amp;inflow=N</t>
        </is>
      </c>
      <c r="D47" t="inlineStr">
        <is>
          <t>Tue, 11 Aug 2026 10:38:00 +0900</t>
        </is>
      </c>
      <c r="E47">
        <f>HYPERLINK("https://image.newstomato.com/newsimg/2026/8/11/1309851/attach.jpg?v=202608111426", IMAGE("https://image.newstomato.com/newsimg/2026/8/11/1309851/attach.jpg?v=202608111426"))</f>
        <v/>
      </c>
    </row>
    <row r="48">
      <c r="A48" t="n">
        <v>47</v>
      </c>
      <c r="B48" t="inlineStr">
        <is>
          <t>전북대, '퍼듀대' '소르본누벨대' 등 세계 명문대 총장단과 '글로벌자문...</t>
        </is>
      </c>
      <c r="C48" t="inlineStr">
        <is>
          <t>http://www.jbsori.com/news/articleView.html?idxno=17718</t>
        </is>
      </c>
      <c r="D48" t="inlineStr">
        <is>
          <t>Tue, 11 Aug 2026 06:00:00 +0900</t>
        </is>
      </c>
      <c r="E48">
        <f>HYPERLINK("https://cdn.jbsori.com/news/thumbnail/202608/17718_39778_5449_v150.jpg", IMAGE("https://cdn.jbsori.com/news/thumbnail/202608/17718_39778_5449_v150.jpg"))</f>
        <v/>
      </c>
    </row>
    <row r="49">
      <c r="A49" t="n">
        <v>48</v>
      </c>
      <c r="B49" t="inlineStr">
        <is>
          <t>퍼듀대·소르본누벨대 총장들이 전북대 자문 맡는다…공동학위·연구까...</t>
        </is>
      </c>
      <c r="C49" t="inlineStr">
        <is>
          <t>https://n.news.naver.com/mnews/article/002/0002451629?sid=102</t>
        </is>
      </c>
      <c r="D49" t="inlineStr">
        <is>
          <t>Mon, 10 Aug 2026 18:16:00 +0900</t>
        </is>
      </c>
      <c r="E49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50">
      <c r="A50" t="n">
        <v>49</v>
      </c>
      <c r="B50" t="inlineStr">
        <is>
          <t>[기획]&amp;quot;가성비만으론 한계&amp;quot;…K-방산, 성장 전략 다시 짜야</t>
        </is>
      </c>
      <c r="C50" t="inlineStr">
        <is>
          <t>https://www.m-i.kr/news/articleView.html?idxno=1400586</t>
        </is>
      </c>
      <c r="D50" t="inlineStr">
        <is>
          <t>Mon, 10 Aug 2026 15:30:00 +0900</t>
        </is>
      </c>
      <c r="E50">
        <f>HYPERLINK("https://cdn.m-i.kr/news/thumbnail/202608/1400586_1188464_1020_v150.jpg", IMAGE("https://cdn.m-i.kr/news/thumbnail/202608/1400586_1188464_1020_v150.jpg"))</f>
        <v/>
      </c>
    </row>
    <row r="51">
      <c r="A51" t="n">
        <v>50</v>
      </c>
      <c r="B51" t="inlineStr">
        <is>
          <t>전북대, 해외 명문대·글로벌 기업 잇는 국제협력 네트워크 구축</t>
        </is>
      </c>
      <c r="C51" t="inlineStr">
        <is>
          <t>https://www.betanews.net/article/view/beta202608100034</t>
        </is>
      </c>
      <c r="D51" t="inlineStr">
        <is>
          <t>Mon, 10 Aug 2026 11:22:00 +0900</t>
        </is>
      </c>
      <c r="E51">
        <f>HYPERLINK("https://www.betanews.net/data/beta/image/2026/08/10/beta20260810000047.jpg", IMAGE("https://www.betanews.net/data/beta/image/2026/08/10/beta20260810000047.jpg"))</f>
        <v/>
      </c>
    </row>
    <row r="52">
      <c r="A52" t="n">
        <v>51</v>
      </c>
      <c r="B52" t="inlineStr">
        <is>
          <t>전북대, 세계 명문대 총장단 등 초대형 협력 네트워크 가동</t>
        </is>
      </c>
      <c r="C52" t="inlineStr">
        <is>
          <t>https://news.unn.net/news/articleView.html?idxno=595738</t>
        </is>
      </c>
      <c r="D52" t="inlineStr">
        <is>
          <t>Mon, 10 Aug 2026 11:14:00 +0900</t>
        </is>
      </c>
      <c r="E52">
        <f>HYPERLINK("https://cdn.news.unn.net/news/thumbnail/202608/595738_420710_1159_v150.jpg", IMAGE("https://cdn.news.unn.net/news/thumbnail/202608/595738_420710_1159_v150.jpg"))</f>
        <v/>
      </c>
    </row>
    <row r="53">
      <c r="A53" t="n">
        <v>52</v>
      </c>
      <c r="B53" t="inlineStr">
        <is>
          <t>전북대·해외대학·기업 손잡다…'국제협력네트워크' 구축</t>
        </is>
      </c>
      <c r="C53" t="inlineStr">
        <is>
          <t>https://n.news.naver.com/mnews/article/003/0014117355?sid=102</t>
        </is>
      </c>
      <c r="D53" t="inlineStr">
        <is>
          <t>Mon, 10 Aug 2026 11:00:00 +0900</t>
        </is>
      </c>
      <c r="E53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54">
      <c r="A54" t="n">
        <v>53</v>
      </c>
      <c r="B54" t="inlineStr">
        <is>
          <t>전북대 역대 최대 국제협력망 구축.. 세계 총장단/탈레스/AUF 힘 모은다</t>
        </is>
      </c>
      <c r="C54" t="inlineStr">
        <is>
          <t>https://www.veritas-a.com/news/articleView.html?idxno=622535</t>
        </is>
      </c>
      <c r="D54" t="inlineStr">
        <is>
          <t>Mon, 10 Aug 2026 10:10:00 +0900</t>
        </is>
      </c>
      <c r="E54">
        <f>HYPERLINK("https://cdn.veritas-a.com/news/thumbnail/202608/622535_535629_832_v150.jpg", IMAGE("https://cdn.veritas-a.com/news/thumbnail/202608/622535_535629_832_v150.jpg"))</f>
        <v/>
      </c>
    </row>
    <row r="55">
      <c r="A55" t="n">
        <v>54</v>
      </c>
      <c r="B55" t="inlineStr">
        <is>
          <t>美 무기 구매서 첨단기술 협력 국가로… K-방산 '눈부신 발전'</t>
        </is>
      </c>
      <c r="C55" t="inlineStr">
        <is>
          <t>https://www.ajunews.com/view/20260806162915186</t>
        </is>
      </c>
      <c r="D55" t="inlineStr">
        <is>
          <t>Thu, 06 Aug 2026 18:18:00 +0900</t>
        </is>
      </c>
      <c r="E55">
        <f>HYPERLINK("https://image.ajunews.com/content/image/2026/08/06/20260806203329192695.jpg", IMAGE("https://image.ajunews.com/content/image/2026/08/06/20260806203329192695.jpg"))</f>
        <v/>
      </c>
    </row>
    <row r="56">
      <c r="A56" t="n">
        <v>55</v>
      </c>
      <c r="B56" t="inlineStr">
        <is>
          <t>[한화 책임경영 2막] 육·해·공·우주 연결…김동관, 방산 도약 이끈다</t>
        </is>
      </c>
      <c r="C56" t="inlineStr">
        <is>
          <t>https://www.g-enews.com/view.php?ud=202608051534469874112616b072_1</t>
        </is>
      </c>
      <c r="D56" t="inlineStr">
        <is>
          <t>Wed, 05 Aug 2026 16:44:00 +0900</t>
        </is>
      </c>
      <c r="E56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57">
      <c r="A57" t="n">
        <v>56</v>
      </c>
      <c r="B57" t="inlineStr">
        <is>
          <t>하드킬 빠진 대드론 국가표준…조달 지연·재설계 우려</t>
        </is>
      </c>
      <c r="C57" t="inlineStr">
        <is>
          <t>https://www.g-enews.com/view.php?ud=202608041148056786ea14faf6f5_1</t>
        </is>
      </c>
      <c r="D57" t="inlineStr">
        <is>
          <t>Tue, 04 Aug 2026 16:02:00 +0900</t>
        </is>
      </c>
      <c r="E57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58">
      <c r="A58" t="n">
        <v>57</v>
      </c>
      <c r="B58" t="inlineStr">
        <is>
          <t>전북대, 전북 최초 국방사업관리사 재직자 전문과정</t>
        </is>
      </c>
      <c r="C58" t="inlineStr">
        <is>
          <t>https://sjbnews.com/news/news.php?number=884391</t>
        </is>
      </c>
      <c r="D58" t="inlineStr">
        <is>
          <t>Mon, 03 Aug 2026 18:52:00 +0900</t>
        </is>
      </c>
      <c r="E58" t="inlineStr">
        <is>
          <t>이미지 없음</t>
        </is>
      </c>
    </row>
    <row r="59">
      <c r="A59" t="n">
        <v>58</v>
      </c>
      <c r="B59" t="inlineStr">
        <is>
          <t>실적은 ‘훨훨’ 수출은 ‘주춤’…K방산 ‘성장 지속성’ 기로</t>
        </is>
      </c>
      <c r="C59" t="inlineStr">
        <is>
          <t>http://www.newstomato.com/ReadNews.aspx?no=1309035&amp;inflow=N</t>
        </is>
      </c>
      <c r="D59" t="inlineStr">
        <is>
          <t>Mon, 03 Aug 2026 15:20:00 +0900</t>
        </is>
      </c>
      <c r="E59">
        <f>HYPERLINK("https://image.newstomato.com/newsimg/2026/8/3/1309035/attach.jpg?v=202608041239", IMAGE("https://image.newstomato.com/newsimg/2026/8/3/1309035/attach.jpg?v=202608041239"))</f>
        <v/>
      </c>
    </row>
    <row r="60">
      <c r="A60" t="n">
        <v>59</v>
      </c>
      <c r="B60" t="inlineStr">
        <is>
          <t>전북 첫 '국방사업관리사' 재직자 과정 운영…전북대, 전문인력 45명 배...</t>
        </is>
      </c>
      <c r="C60" t="inlineStr">
        <is>
          <t>https://n.news.naver.com/mnews/article/002/0002450696?sid=102</t>
        </is>
      </c>
      <c r="D60" t="inlineStr">
        <is>
          <t>Mon, 03 Aug 2026 12:51:00 +0900</t>
        </is>
      </c>
      <c r="E6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61">
      <c r="A61" t="n">
        <v>60</v>
      </c>
      <c r="B61" t="inlineStr">
        <is>
          <t>전북대, 국방사업관리사 재직자 전문과정 마쳐…&amp;quot;45명 수료&amp;quot;</t>
        </is>
      </c>
      <c r="C61" t="inlineStr">
        <is>
          <t>https://n.news.naver.com/mnews/article/003/0014104540?sid=102</t>
        </is>
      </c>
      <c r="D61" t="inlineStr">
        <is>
          <t>Mon, 03 Aug 2026 11:26:00 +0900</t>
        </is>
      </c>
      <c r="E6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2">
      <c r="A62" t="n">
        <v>61</v>
      </c>
      <c r="B62" t="inlineStr">
        <is>
          <t>전북대, 방산혁신클러스터 전문인력 양성 첫 발…'국방사업관리사 재직...</t>
        </is>
      </c>
      <c r="C62" t="inlineStr">
        <is>
          <t>https://n.news.naver.com/mnews/article/030/0003453553?sid=102</t>
        </is>
      </c>
      <c r="D62" t="inlineStr">
        <is>
          <t>Mon, 03 Aug 2026 10:32:00 +0900</t>
        </is>
      </c>
      <c r="E6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63">
      <c r="A63" t="n">
        <v>62</v>
      </c>
      <c r="B63" t="inlineStr">
        <is>
          <t>글로벌 방산 트렌드는 ‘합종연횡’…한화, KAI와 손잡나</t>
        </is>
      </c>
      <c r="C63" t="inlineStr">
        <is>
          <t>https://n.news.naver.com/mnews/article/262/0000019567?sid=101</t>
        </is>
      </c>
      <c r="D63" t="inlineStr">
        <is>
          <t>Sun, 02 Aug 2026 17:01:00 +0900</t>
        </is>
      </c>
      <c r="E63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4">
      <c r="A64" t="n">
        <v>63</v>
      </c>
      <c r="B64" t="inlineStr">
        <is>
          <t>김종출 KAI 대표, 완제기 제조 역량에 'AI·위성 기술' 입힌다</t>
        </is>
      </c>
      <c r="C64" t="inlineStr">
        <is>
          <t>https://www.insightkorea.co.kr/news/articleView.html?idxno=251282</t>
        </is>
      </c>
      <c r="D64" t="inlineStr">
        <is>
          <t>Thu, 30 Jul 2026 16:12:00 +0900</t>
        </is>
      </c>
      <c r="E64">
        <f>HYPERLINK("https://cdn.insightkorea.co.kr/news/thumbnail/202607/251282_261914_1843_v150.jpg", IMAGE("https://cdn.insightkorea.co.kr/news/thumbnail/202607/251282_261914_1843_v150.jpg"))</f>
        <v/>
      </c>
    </row>
    <row r="65">
      <c r="A65" t="n">
        <v>64</v>
      </c>
      <c r="B65" t="inlineStr">
        <is>
          <t>1800문 깔린 한화 K-9, 애프터마켓도 커진다</t>
        </is>
      </c>
      <c r="C65" t="inlineStr">
        <is>
          <t>https://www.m-i.kr/news/articleView.html?idxno=1397184</t>
        </is>
      </c>
      <c r="D65" t="inlineStr">
        <is>
          <t>Thu, 30 Jul 2026 14:12:00 +0900</t>
        </is>
      </c>
      <c r="E65">
        <f>HYPERLINK("https://cdn.m-i.kr/news/thumbnail/202607/1397184_1185010_558_v150.jpg", IMAGE("https://cdn.m-i.kr/news/thumbnail/202607/1397184_1185010_558_v150.jpg"))</f>
        <v/>
      </c>
    </row>
    <row r="66">
      <c r="A66" t="n">
        <v>65</v>
      </c>
      <c r="B66" t="inlineStr">
        <is>
          <t>K-방산, AI 파트너 확보전…기술 협력망이 새 경쟁력</t>
        </is>
      </c>
      <c r="C66" t="inlineStr">
        <is>
          <t>https://www.g-enews.com/view.php?ud=202607290914253246ea14faf6f5_1</t>
        </is>
      </c>
      <c r="D66" t="inlineStr">
        <is>
          <t>Wed, 29 Jul 2026 13:12:00 +0900</t>
        </is>
      </c>
      <c r="E6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67">
      <c r="A67" t="n">
        <v>66</v>
      </c>
      <c r="B67" t="inlineStr">
        <is>
          <t>[무기 된 AI, K방산 좌표]①방산 4社 AI 무장 끝냈지만…낡은 인증제도가...</t>
        </is>
      </c>
      <c r="C67" t="inlineStr">
        <is>
          <t>https://n.news.naver.com/mnews/article/277/0005796140?sid=101</t>
        </is>
      </c>
      <c r="D67" t="inlineStr">
        <is>
          <t>Wed, 29 Jul 2026 10:47:00 +0900</t>
        </is>
      </c>
      <c r="E67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68">
      <c r="A68" t="n">
        <v>67</v>
      </c>
      <c r="B68" t="inlineStr">
        <is>
          <t>“한일, 해양수송로 공유… 분쟁시 운명공동체 될 것”</t>
        </is>
      </c>
      <c r="C68" t="inlineStr">
        <is>
          <t>https://n.news.naver.com/mnews/article/020/0003737284?sid=104</t>
        </is>
      </c>
      <c r="D68" t="inlineStr">
        <is>
          <t>Wed, 29 Jul 2026 04:36:00 +0900</t>
        </is>
      </c>
      <c r="E68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69">
      <c r="A69" t="n">
        <v>68</v>
      </c>
      <c r="B69" t="inlineStr">
        <is>
          <t>에스토니아서 '천둥'이라 부르는 K9 자주포... 전 방위사업청장이 말하...</t>
        </is>
      </c>
      <c r="C69" t="inlineStr">
        <is>
          <t>https://n.news.naver.com/mnews/article/469/0000944797?sid=100</t>
        </is>
      </c>
      <c r="D69" t="inlineStr">
        <is>
          <t>Tue, 28 Jul 2026 14:01:00 +0900</t>
        </is>
      </c>
      <c r="E6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70">
      <c r="A70" t="n">
        <v>69</v>
      </c>
      <c r="B70" t="inlineStr">
        <is>
          <t>[기획]북미서 고배 마셨지만…HD현대·한화, 남미 함정 수요 정조준</t>
        </is>
      </c>
      <c r="C70" t="inlineStr">
        <is>
          <t>https://www.m-i.kr/news/articleView.html?idxno=1395625</t>
        </is>
      </c>
      <c r="D70" t="inlineStr">
        <is>
          <t>Mon, 27 Jul 2026 15:38:00 +0900</t>
        </is>
      </c>
      <c r="E70">
        <f>HYPERLINK("https://cdn.m-i.kr/news/thumbnail/202607/1395625_1183389_4926_v150.jpg", IMAGE("https://cdn.m-i.kr/news/thumbnail/202607/1395625_1183389_4926_v150.jpg"))</f>
        <v/>
      </c>
    </row>
    <row r="71">
      <c r="A71" t="n">
        <v>70</v>
      </c>
      <c r="B71" t="inlineStr">
        <is>
          <t>[차세현의 직격토론] “미국 군함 건조하면 나토 시장 K방산에 활짝 열...</t>
        </is>
      </c>
      <c r="C71" t="inlineStr">
        <is>
          <t>https://n.news.naver.com/mnews/article/025/0003539208?sid=110</t>
        </is>
      </c>
      <c r="D71" t="inlineStr">
        <is>
          <t>Wed, 22 Jul 2026 00:14:00 +0900</t>
        </is>
      </c>
      <c r="E71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72">
      <c r="A72" t="n">
        <v>71</v>
      </c>
      <c r="B72" t="inlineStr">
        <is>
          <t>포티투마루, ‘K-팔란티어’ 육성 위한 ‘국방 AI 생태계’ 전략 제시</t>
        </is>
      </c>
      <c r="C72" t="inlineStr">
        <is>
          <t>https://www.etoday.co.kr/news/view/2605457</t>
        </is>
      </c>
      <c r="D72" t="inlineStr">
        <is>
          <t>Tue, 21 Jul 2026 08:32:00 +0900</t>
        </is>
      </c>
      <c r="E72">
        <f>HYPERLINK("https://img.etoday.co.kr/pto_db/2026/07/20260721082646_2361751_1000_276.png", IMAGE("https://img.etoday.co.kr/pto_db/2026/07/20260721082646_2361751_1000_276.png"))</f>
        <v/>
      </c>
    </row>
    <row r="73">
      <c r="A73" t="n">
        <v>72</v>
      </c>
      <c r="B73" t="inlineStr">
        <is>
          <t>김동관 한화 부회장, '전 공정 현지 생산'으로 미국 방산 '벽' 깬다</t>
        </is>
      </c>
      <c r="C73" t="inlineStr">
        <is>
          <t>https://www.insightkorea.co.kr/news/articleView.html?idxno=250489</t>
        </is>
      </c>
      <c r="D73" t="inlineStr">
        <is>
          <t>Mon, 20 Jul 2026 16:36:00 +0900</t>
        </is>
      </c>
      <c r="E73">
        <f>HYPERLINK("https://cdn.insightkorea.co.kr/news/thumbnail/202607/250489_260882_4746_v150.jpg", IMAGE("https://cdn.insightkorea.co.kr/news/thumbnail/202607/250489_260882_4746_v150.jpg"))</f>
        <v/>
      </c>
    </row>
    <row r="74">
      <c r="A74" t="n">
        <v>73</v>
      </c>
      <c r="B74" t="inlineStr">
        <is>
          <t>한국서 美 군함 만들 길 열렸다…트럼프, 최대 2척 해외 건조 허용</t>
        </is>
      </c>
      <c r="C74" t="inlineStr">
        <is>
          <t>https://n.news.naver.com/mnews/article/448/0000633625?sid=101</t>
        </is>
      </c>
      <c r="D74" t="inlineStr">
        <is>
          <t>Fri, 14 Aug 2026 21:40:00 +0900</t>
        </is>
      </c>
      <c r="E74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5">
      <c r="A75" t="n">
        <v>74</v>
      </c>
      <c r="B75" t="inlineStr">
        <is>
          <t>모레, 전북대와 피지컬 AI 기술 이전 계약 ··· 공간지능형 AI 플랫폼 ...</t>
        </is>
      </c>
      <c r="C75" t="inlineStr">
        <is>
          <t>https://www.datanet.co.kr/news/articleView.html?idxno=213400</t>
        </is>
      </c>
      <c r="D75" t="inlineStr">
        <is>
          <t>Wed, 29 Jul 2026 19:16:00 +0900</t>
        </is>
      </c>
      <c r="E75">
        <f>HYPERLINK("https://cdn.datanet.co.kr/news/thumbnail/202607/213400_137602_1023_v150.jpg", IMAGE("https://cdn.datanet.co.kr/news/thumbnail/202607/213400_137602_1023_v150.jpg"))</f>
        <v/>
      </c>
    </row>
    <row r="76">
      <c r="A76" t="n">
        <v>75</v>
      </c>
      <c r="B76" t="inlineStr">
        <is>
          <t>[트럼프發 훈풍 K-조선] '기회의 문' 열린 美함정시장… 현지투자·경쟁...</t>
        </is>
      </c>
      <c r="C76" t="inlineStr">
        <is>
          <t>https://www.asiatoday.co.kr/kn/view.php?key=20260730010011003</t>
        </is>
      </c>
      <c r="D76" t="inlineStr">
        <is>
          <t>Wed, 29 Jul 2026 18:24:00 +0900</t>
        </is>
      </c>
      <c r="E76">
        <f>HYPERLINK("https://img.asiatoday.co.kr/file/2026y/07m/30d/2026073001001986500110031.jpg", IMAGE("https://img.asiatoday.co.kr/file/2026y/07m/30d/2026073001001986500110031.jpg"))</f>
        <v/>
      </c>
    </row>
    <row r="77">
      <c r="A77" t="n">
        <v>76</v>
      </c>
      <c r="B77" t="inlineStr">
        <is>
          <t>[전북24시]전북대 피지컬 AI 원천기술 이전 상용화된다</t>
        </is>
      </c>
      <c r="C77" t="inlineStr">
        <is>
          <t>https://n.news.naver.com/mnews/article/586/0000134807?sid=102</t>
        </is>
      </c>
      <c r="D77" t="inlineStr">
        <is>
          <t>Wed, 29 Jul 2026 18:20:00 +0900</t>
        </is>
      </c>
      <c r="E77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8">
      <c r="A78" t="n">
        <v>77</v>
      </c>
      <c r="B78" t="inlineStr">
        <is>
          <t>전북대 산학협력단-(주)모레, AI 기술이전 계약 체결</t>
        </is>
      </c>
      <c r="C78" t="inlineStr">
        <is>
          <t>http://www.jjn.co.kr/news/articleView.html?idxno=1047952</t>
        </is>
      </c>
      <c r="D78" t="inlineStr">
        <is>
          <t>Wed, 29 Jul 2026 18:18:00 +0900</t>
        </is>
      </c>
      <c r="E78">
        <f>HYPERLINK("http://www.jjn.co.kr/image/logo/snslogo_20220512034033.png", IMAGE("http://www.jjn.co.kr/image/logo/snslogo_20220512034033.png"))</f>
        <v/>
      </c>
    </row>
    <row r="79">
      <c r="A79" t="n">
        <v>78</v>
      </c>
      <c r="B79" t="inlineStr">
        <is>
          <t>전북대 피지컬 AI 원천기술, 기업 통해 상용화 길 열었다</t>
        </is>
      </c>
      <c r="C79" t="inlineStr">
        <is>
          <t>http://www.jeollailbo.com/news/articleView.html?idxno=806724</t>
        </is>
      </c>
      <c r="D79" t="inlineStr">
        <is>
          <t>Wed, 29 Jul 2026 15:52:00 +0900</t>
        </is>
      </c>
      <c r="E79">
        <f>HYPERLINK("https://cdn.jeollailbo.com/news/thumbnail/202607/806724_194383_5015_v150.jpg", IMAGE("https://cdn.jeollailbo.com/news/thumbnail/202607/806724_194383_5015_v150.jpg"))</f>
        <v/>
      </c>
    </row>
    <row r="80">
      <c r="A80" t="n">
        <v>79</v>
      </c>
      <c r="B80" t="inlineStr">
        <is>
          <t>전북대, 피지컬 AI 기술 3건 모레에 이전…3억5000만원 규모</t>
        </is>
      </c>
      <c r="C80" t="inlineStr">
        <is>
          <t>https://www.betanews.net/article/view/beta202607290020</t>
        </is>
      </c>
      <c r="D80" t="inlineStr">
        <is>
          <t>Wed, 29 Jul 2026 14:20:00 +0900</t>
        </is>
      </c>
      <c r="E80">
        <f>HYPERLINK("https://www.betanews.net/data/beta/image/2026/07/29/beta20260729000023.jpg", IMAGE("https://www.betanews.net/data/beta/image/2026/07/29/beta20260729000023.jpg"))</f>
        <v/>
      </c>
    </row>
    <row r="81">
      <c r="A81" t="n">
        <v>80</v>
      </c>
      <c r="B81" t="inlineStr">
        <is>
          <t>AI가 드론·무인이동체 지휘…모레, 전북대 피지컬AI 기술 확보</t>
        </is>
      </c>
      <c r="C81" t="inlineStr">
        <is>
          <t>https://n.news.naver.com/mnews/article/008/0005392655?sid=101</t>
        </is>
      </c>
      <c r="D81" t="inlineStr">
        <is>
          <t>Wed, 29 Jul 2026 12:00:00 +0900</t>
        </is>
      </c>
      <c r="E81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2">
      <c r="A82" t="n">
        <v>81</v>
      </c>
      <c r="B82" t="inlineStr">
        <is>
          <t>전북대-모레, 전역 위치결정 등 피지컬AI 3건 기술이전 계약 체결</t>
        </is>
      </c>
      <c r="C82" t="inlineStr">
        <is>
          <t>https://n.news.naver.com/mnews/article/030/0003452135?sid=102</t>
        </is>
      </c>
      <c r="D82" t="inlineStr">
        <is>
          <t>Wed, 29 Jul 2026 11:29:00 +0900</t>
        </is>
      </c>
      <c r="E82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3">
      <c r="A83" t="n">
        <v>82</v>
      </c>
      <c r="B83" t="inlineStr">
        <is>
          <t>모레, 전북대 피지컬 AI 기술이전…공간지능 플랫폼 개발 [로보 인사이...</t>
        </is>
      </c>
      <c r="C83" t="inlineStr">
        <is>
          <t>https://n.news.naver.com/mnews/article/011/0004646314?sid=105</t>
        </is>
      </c>
      <c r="D83" t="inlineStr">
        <is>
          <t>Wed, 29 Jul 2026 09:25:00 +0900</t>
        </is>
      </c>
      <c r="E83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4">
      <c r="A84" t="n">
        <v>83</v>
      </c>
      <c r="B84" t="inlineStr">
        <is>
          <t>고려대-전북대 국가균형발전 이끄는 산/학/연 협력 허브 구축 협약</t>
        </is>
      </c>
      <c r="C84" t="inlineStr">
        <is>
          <t>https://www.veritas-a.com/news/articleView.html?idxno=621016</t>
        </is>
      </c>
      <c r="D84" t="inlineStr">
        <is>
          <t>Mon, 27 Jul 2026 13:50:00 +0900</t>
        </is>
      </c>
      <c r="E84">
        <f>HYPERLINK("https://cdn.veritas-a.com/news/thumbnail/202607/621016_534040_4114_v150.jpg", IMAGE("https://cdn.veritas-a.com/news/thumbnail/202607/621016_534040_4114_v150.jpg"))</f>
        <v/>
      </c>
    </row>
    <row r="85">
      <c r="A85" t="n">
        <v>84</v>
      </c>
      <c r="B85" t="inlineStr">
        <is>
          <t>‘MASGA’ 출범했지만⋯ K-조선 수혜규모, 워싱턴서 갈린다</t>
        </is>
      </c>
      <c r="C85" t="inlineStr">
        <is>
          <t>https://www.viva100.com/article/20260726500503</t>
        </is>
      </c>
      <c r="D85" t="inlineStr">
        <is>
          <t>Sun, 26 Jul 2026 15:42:00 +0900</t>
        </is>
      </c>
      <c r="E85">
        <f>HYPERLINK("https://stqnq5ux4599.edge.naverncp.com/data2//content/image/2026/07/26/.cache/512/20260726500497.jpg?v=20260824001348", IMAGE("https://stqnq5ux4599.edge.naverncp.com/data2//content/image/2026/07/26/.cache/512/20260726500497.jpg?v=20260824001348"))</f>
        <v/>
      </c>
    </row>
    <row r="86">
      <c r="A86" t="n">
        <v>85</v>
      </c>
      <c r="B86" t="inlineStr">
        <is>
          <t>오성훈 전북대 교수, 강호항공고서 진로 특강</t>
        </is>
      </c>
      <c r="C86" t="inlineStr">
        <is>
          <t>http://www.domin.co.kr/news/articleView.html?idxno=1562918</t>
        </is>
      </c>
      <c r="D86" t="inlineStr">
        <is>
          <t>Fri, 24 Jul 2026 15:42:00 +0900</t>
        </is>
      </c>
      <c r="E86">
        <f>HYPERLINK("http://www.domin.co.kr/news/thumbnail/202607/1562918_774586_3414_v150.jpg", IMAGE("http://www.domin.co.kr/news/thumbnail/202607/1562918_774586_3414_v150.jpg"))</f>
        <v/>
      </c>
    </row>
    <row r="87">
      <c r="A87" t="n">
        <v>86</v>
      </c>
      <c r="B87" t="inlineStr">
        <is>
          <t>유럽 '방산 블록' 본격화, K-방산 새 수출 전략이 필요하다</t>
        </is>
      </c>
      <c r="C87" t="inlineStr">
        <is>
          <t>https://bizhankook.com/articles/k-defense-europe-future-strategy.html</t>
        </is>
      </c>
      <c r="D87" t="inlineStr">
        <is>
          <t>Thu, 16 Jul 2026 15:48:00 +0900</t>
        </is>
      </c>
      <c r="E87">
        <f>HYPERLINK("https://s.bizhankook.com/attachments_og/2026/07/134680_og_4b86a4ce.jpg", IMAGE("https://s.bizhankook.com/attachments_og/2026/07/134680_og_4b86a4ce.jpg"))</f>
        <v/>
      </c>
    </row>
    <row r="88">
      <c r="A88" t="n">
        <v>87</v>
      </c>
      <c r="B88" t="inlineStr">
        <is>
          <t>KAI 인수 침 바르는 한화, 걸림돌 뭐가 있을까 [이슈체크]</t>
        </is>
      </c>
      <c r="C88" t="inlineStr">
        <is>
          <t>https://news.mtn.co.kr/news-detail/2026071509051891124</t>
        </is>
      </c>
      <c r="D88" t="inlineStr">
        <is>
          <t>Thu, 16 Jul 2026 09:40:00 +0900</t>
        </is>
      </c>
      <c r="E8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89">
      <c r="A89" t="n">
        <v>88</v>
      </c>
      <c r="B89" t="inlineStr">
        <is>
          <t>4조짜리 태국 호위함 잡아라…조선 '빅2' 수주전 곧 결판난다</t>
        </is>
      </c>
      <c r="C89" t="inlineStr">
        <is>
          <t>https://www.insightkorea.co.kr/news/articleView.html?idxno=250247</t>
        </is>
      </c>
      <c r="D89" t="inlineStr">
        <is>
          <t>Wed, 15 Jul 2026 17:08:00 +0900</t>
        </is>
      </c>
      <c r="E89">
        <f>HYPERLINK("https://cdn.insightkorea.co.kr/news/thumbnail/202607/250247_260717_3649_v150.jpg", IMAGE("https://cdn.insightkorea.co.kr/news/thumbnail/202607/250247_260717_3649_v150.jpg"))</f>
        <v/>
      </c>
    </row>
    <row r="90">
      <c r="A90" t="n">
        <v>89</v>
      </c>
      <c r="B90" t="inlineStr">
        <is>
          <t>잇단 수출 실패... 한국 잠수함 생태계 '일감 절벽' 경고등</t>
        </is>
      </c>
      <c r="C90" t="inlineStr">
        <is>
          <t>https://n.news.naver.com/mnews/article/469/0000942297?sid=101</t>
        </is>
      </c>
      <c r="D90" t="inlineStr">
        <is>
          <t>Wed, 15 Jul 2026 04:30:00 +0900</t>
        </is>
      </c>
      <c r="E9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91">
      <c r="A91" t="n">
        <v>90</v>
      </c>
      <c r="B91" t="inlineStr">
        <is>
          <t>MASGA 길 따라 ‘1600조’ 美 군함 시장 열릴까</t>
        </is>
      </c>
      <c r="C91" t="inlineStr">
        <is>
          <t>https://n.news.naver.com/mnews/article/005/0001860745?sid=101</t>
        </is>
      </c>
      <c r="D91" t="inlineStr">
        <is>
          <t>Tue, 14 Jul 2026 00:09:00 +0900</t>
        </is>
      </c>
      <c r="E9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92">
      <c r="A92" t="n">
        <v>91</v>
      </c>
      <c r="B92" t="inlineStr">
        <is>
          <t>[포커스] 캐나다선 고배 마셨지만…&amp;quot;글로벌 군함 수주전, 지금부터 시작...</t>
        </is>
      </c>
      <c r="C92" t="inlineStr">
        <is>
          <t>https://n.news.naver.com/mnews/article/448/0000626219?sid=101</t>
        </is>
      </c>
      <c r="D92" t="inlineStr">
        <is>
          <t>Sun, 12 Jul 2026 19:33:00 +0900</t>
        </is>
      </c>
      <c r="E9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3">
      <c r="A93" t="n">
        <v>92</v>
      </c>
      <c r="B93" t="inlineStr">
        <is>
          <t>K-조선 미련⋯ 캐나다, 북극항로·해양안보 매력 못 잊어</t>
        </is>
      </c>
      <c r="C93" t="inlineStr">
        <is>
          <t>https://www.viva100.com/article/20260712500414</t>
        </is>
      </c>
      <c r="D93" t="inlineStr">
        <is>
          <t>Sun, 12 Jul 2026 14:06:00 +0900</t>
        </is>
      </c>
      <c r="E93">
        <f>HYPERLINK("https://stqnq5ux4599.edge.naverncp.com/data2//content/image/2026/07/12/.cache/512/20260712500405.jpg?v=20260824001406", IMAGE("https://stqnq5ux4599.edge.naverncp.com/data2//content/image/2026/07/12/.cache/512/20260712500405.jpg?v=20260824001406"))</f>
        <v/>
      </c>
    </row>
    <row r="94">
      <c r="A94" t="n">
        <v>93</v>
      </c>
      <c r="B94" t="inlineStr">
        <is>
          <t>유럽 방산시장 '새 판'···나토가 선택할 K방산 기업의 조건은?</t>
        </is>
      </c>
      <c r="C94" t="inlineStr">
        <is>
          <t>http://www.enewstoday.co.kr/news/articleView.html?idxno=2447247</t>
        </is>
      </c>
      <c r="D94" t="inlineStr">
        <is>
          <t>Thu, 09 Jul 2026 15:36:00 +0900</t>
        </is>
      </c>
      <c r="E94">
        <f>HYPERLINK("https://cdn.enewstoday.co.kr/news/thumbnail/202607/2447247_1285242_2338_v150.jpg", IMAGE("https://cdn.enewstoday.co.kr/news/thumbnail/202607/2447247_1285242_2338_v150.jpg"))</f>
        <v/>
      </c>
    </row>
    <row r="95">
      <c r="A95" t="n">
        <v>94</v>
      </c>
      <c r="B95" t="inlineStr">
        <is>
          <t>[방산 이슈 진단 (152)] 캐나다 잠수함 사업, ‘20조원+α’인 사업 규모...</t>
        </is>
      </c>
      <c r="C95" t="inlineStr">
        <is>
          <t>https://www.news2day.co.kr/article/20260709500128</t>
        </is>
      </c>
      <c r="D95" t="inlineStr">
        <is>
          <t>Thu, 09 Jul 2026 11:32:00 +0900</t>
        </is>
      </c>
      <c r="E95">
        <f>HYPERLINK("https://cdn.news2day.co.kr/data2/content/image/2026/07/09/.cache/512/20260709500125.png", IMAGE("https://cdn.news2day.co.kr/data2/content/image/2026/07/09/.cache/512/20260709500125.png"))</f>
        <v/>
      </c>
    </row>
    <row r="96">
      <c r="A96" t="n">
        <v>95</v>
      </c>
      <c r="B96" t="inlineStr">
        <is>
          <t>[시선집중] 방산전문가 &amp;quot;李대통령, 나토 방산시장 '혈 뚫었다'...공동개...</t>
        </is>
      </c>
      <c r="C96" t="inlineStr">
        <is>
          <t>https://n.news.naver.com/mnews/article/214/0001510555?sid=100</t>
        </is>
      </c>
      <c r="D96" t="inlineStr">
        <is>
          <t>Thu, 09 Jul 2026 10:17:00 +0900</t>
        </is>
      </c>
      <c r="E96">
        <f>HYPERLINK("https://ssl.pstatic.net/static.news/image/news/ogtag/navernews_800x420_20221201.jpg", IMAGE("https://ssl.pstatic.net/static.news/image/news/ogtag/navernews_800x420_20221201.jpg"))</f>
        <v/>
      </c>
    </row>
    <row r="97">
      <c r="A97" t="n">
        <v>96</v>
      </c>
      <c r="B97" t="inlineStr">
        <is>
          <t>“나토 높은 벽” 뚫는 李 승부수, 조달협정…“우회로 뚫는 효과”</t>
        </is>
      </c>
      <c r="C97" t="inlineStr">
        <is>
          <t>https://n.news.naver.com/mnews/article/025/0003536241?sid=100</t>
        </is>
      </c>
      <c r="D97" t="inlineStr">
        <is>
          <t>Wed, 08 Jul 2026 17:27:00 +0900</t>
        </is>
      </c>
      <c r="E9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8">
      <c r="A98" t="n">
        <v>97</v>
      </c>
      <c r="B98" t="inlineStr">
        <is>
          <t>캐나다서 고배 마신 한화오션, 미국선 러브콜…'전투함 건조' 길 열릴까...</t>
        </is>
      </c>
      <c r="C98" t="inlineStr">
        <is>
          <t>https://n.news.naver.com/mnews/article/277/0005787343?sid=101</t>
        </is>
      </c>
      <c r="D98" t="inlineStr">
        <is>
          <t>Wed, 08 Jul 2026 16:32:00 +0900</t>
        </is>
      </c>
      <c r="E9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9">
      <c r="A99" t="n">
        <v>98</v>
      </c>
      <c r="B99" t="inlineStr">
        <is>
          <t>“가성비만으론 나토 ‘방산 블록’ 못 뚫어… 안보 협력 강화부터”</t>
        </is>
      </c>
      <c r="C99" t="inlineStr">
        <is>
          <t>https://n.news.naver.com/mnews/article/023/0003986369?sid=101</t>
        </is>
      </c>
      <c r="D99" t="inlineStr">
        <is>
          <t>Wed, 08 Jul 2026 00:52:00 +0900</t>
        </is>
      </c>
      <c r="E9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00">
      <c r="A100" t="n">
        <v>99</v>
      </c>
      <c r="B100" t="inlineStr">
        <is>
          <t>K방산, 강호 獨 맞서며 경쟁력 확인… 중동·동남아 기회 남았다</t>
        </is>
      </c>
      <c r="C100" t="inlineStr">
        <is>
          <t>https://n.news.naver.com/mnews/article/005/0001859579?sid=101</t>
        </is>
      </c>
      <c r="D100" t="inlineStr">
        <is>
          <t>Wed, 08 Jul 2026 00:13:00 +0900</t>
        </is>
      </c>
      <c r="E10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01">
      <c r="A101" t="n">
        <v>100</v>
      </c>
      <c r="B101" t="inlineStr">
        <is>
          <t>성능보다 우선한 '동맹'…캐나다, 왜 독일 선택했나?</t>
        </is>
      </c>
      <c r="C101" t="inlineStr">
        <is>
          <t>https://n.news.naver.com/mnews/article/448/0000625036?sid=101</t>
        </is>
      </c>
      <c r="D101" t="inlineStr">
        <is>
          <t>Tue, 07 Jul 2026 21:20:00 +0900</t>
        </is>
      </c>
      <c r="E10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02">
      <c r="A102" t="n">
        <v>101</v>
      </c>
      <c r="B102" t="inlineStr">
        <is>
          <t>나토 국방비 증액에도 생산 병목…기회 잡는 K-방산</t>
        </is>
      </c>
      <c r="C102" t="inlineStr">
        <is>
          <t>http://www.metroseoul.co.kr/article/20260707500477</t>
        </is>
      </c>
      <c r="D102" t="inlineStr">
        <is>
          <t>Tue, 07 Jul 2026 16:54:00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한화오션, 60조 캐나다 잠수함 고배…이 대통령, 'K-방산 세일즈' 돌파구</t>
        </is>
      </c>
      <c r="C103" t="inlineStr">
        <is>
          <t>http://mbnmoney.mbn.co.kr/news/view?news_no=MM1005874272</t>
        </is>
      </c>
      <c r="D103" t="inlineStr">
        <is>
          <t>Tue, 07 Jul 2026 16:36:00 +0900</t>
        </is>
      </c>
      <c r="E103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4">
      <c r="A104" t="n">
        <v>103</v>
      </c>
      <c r="B104" t="inlineStr">
        <is>
          <t>팀코리아, 캐나다 잠수함 수주 좌초...유럽 방산 진출 '적신호'</t>
        </is>
      </c>
      <c r="C104" t="inlineStr">
        <is>
          <t>https://www.insightkorea.co.kr/news/articleView.html?idxno=249725</t>
        </is>
      </c>
      <c r="D104" t="inlineStr">
        <is>
          <t>Tue, 07 Jul 2026 16:22:00 +0900</t>
        </is>
      </c>
      <c r="E104">
        <f>HYPERLINK("https://cdn.insightkorea.co.kr/news/thumbnail/202607/249725_259957_321_v150.jpg", IMAGE("https://cdn.insightkorea.co.kr/news/thumbnail/202607/249725_259957_321_v150.jpg"))</f>
        <v/>
      </c>
    </row>
    <row r="105">
      <c r="A105" t="n">
        <v>104</v>
      </c>
      <c r="B105" t="inlineStr">
        <is>
          <t>120조 캐나다 잠수함 ‘운명의 한 주’…한화오션, 새 역사 쓸까</t>
        </is>
      </c>
      <c r="C105" t="inlineStr">
        <is>
          <t>http://www.newstomato.com/ReadNews.aspx?no=1306065&amp;inflow=N</t>
        </is>
      </c>
      <c r="D105" t="inlineStr">
        <is>
          <t>Fri, 03 Jul 2026 12:14:00 +0900</t>
        </is>
      </c>
      <c r="E105">
        <f>HYPERLINK("https://image.newstomato.com/newsimg/2026/7/3/1306065/attach.jpg?v=202607051445", IMAGE("https://image.newstomato.com/newsimg/2026/7/3/1306065/attach.jpg?v=202607051445"))</f>
        <v/>
      </c>
    </row>
    <row r="106">
      <c r="A106" t="n">
        <v>105</v>
      </c>
      <c r="B106" t="inlineStr">
        <is>
          <t>서울대 10개 만들기 선정 임박…'피지컬AI' 전북대 포함될까</t>
        </is>
      </c>
      <c r="C106" t="inlineStr">
        <is>
          <t>https://n.news.naver.com/mnews/article/421/0009116420?sid=102</t>
        </is>
      </c>
      <c r="D106" t="inlineStr">
        <is>
          <t>Sun, 16 Aug 2026 16:38:00 +0900</t>
        </is>
      </c>
      <c r="E10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7">
      <c r="A107" t="n">
        <v>106</v>
      </c>
      <c r="B107" t="inlineStr">
        <is>
          <t>전북대학교, AI와 지역 전략산업 결합한 석·박사급 인재 150명 키운다</t>
        </is>
      </c>
      <c r="C107" t="inlineStr">
        <is>
          <t>https://www.lecturernews.com/news/articleView.html?idxno=208482</t>
        </is>
      </c>
      <c r="D107" t="inlineStr">
        <is>
          <t>Fri, 14 Aug 2026 09:46:00 +0900</t>
        </is>
      </c>
      <c r="E107">
        <f>HYPERLINK("https://cdn.lecturernews.com/news/thumbnail/202608/208482_477346_3211_v150.jpg", IMAGE("https://cdn.lecturernews.com/news/thumbnail/202608/208482_477346_3211_v150.jpg"))</f>
        <v/>
      </c>
    </row>
    <row r="108">
      <c r="A108" t="n">
        <v>107</v>
      </c>
      <c r="B108" t="inlineStr">
        <is>
          <t>전북대, 석·박사급 인공지능 전문인력 150명 양성</t>
        </is>
      </c>
      <c r="C108" t="inlineStr">
        <is>
          <t>http://www.hansbiz.co.kr/news/articleView.html?idxno=855479</t>
        </is>
      </c>
      <c r="D108" t="inlineStr">
        <is>
          <t>Sun, 09 Aug 2026 16:48:00 +0900</t>
        </is>
      </c>
      <c r="E108">
        <f>HYPERLINK("https://cdn.hansbiz.co.kr/news/thumbnail/202608/855479_875351_4720_v150.jpg", IMAGE("https://cdn.hansbiz.co.kr/news/thumbnail/202608/855479_875351_4720_v150.jpg"))</f>
        <v/>
      </c>
    </row>
    <row r="109">
      <c r="A109" t="n">
        <v>108</v>
      </c>
      <c r="B109" t="inlineStr">
        <is>
          <t>전북대, 지역 성장엔진 'AI+X 석·박사' 인재 양성 나선다</t>
        </is>
      </c>
      <c r="C109" t="inlineStr">
        <is>
          <t>http://www.jeollailbo.com/news/articleView.html?idxno=807560</t>
        </is>
      </c>
      <c r="D109" t="inlineStr">
        <is>
          <t>Sat, 08 Aug 2026 15:58:00 +0900</t>
        </is>
      </c>
      <c r="E109">
        <f>HYPERLINK("https://cdn.jeollailbo.com/news/thumbnail/202608/807560_195196_3744_v150.jpg", IMAGE("https://cdn.jeollailbo.com/news/thumbnail/202608/807560_195196_3744_v150.jpg"))</f>
        <v/>
      </c>
    </row>
    <row r="110">
      <c r="A110" t="n">
        <v>109</v>
      </c>
      <c r="B110" t="inlineStr">
        <is>
          <t>전북대, 7개 융합학과로 AI+X 고급인재 150명 양성한다</t>
        </is>
      </c>
      <c r="C110" t="inlineStr">
        <is>
          <t>https://www.kyosu.net/news/articleView.html?idxno=208585</t>
        </is>
      </c>
      <c r="D110" t="inlineStr">
        <is>
          <t>Fri, 07 Aug 2026 12:10:00 +0900</t>
        </is>
      </c>
      <c r="E110">
        <f>HYPERLINK("https://cdn.kyosu.net/news/photo/202608/208585_209853_4310.jpg", IMAGE("https://cdn.kyosu.net/news/photo/202608/208585_209853_4310.jpg"))</f>
        <v/>
      </c>
    </row>
    <row r="111">
      <c r="A111" t="n">
        <v>110</v>
      </c>
      <c r="B111" t="inlineStr">
        <is>
          <t>전북대 AI+X 고급인재 양성 나선다.. 학사~박사 최단 5.5년 '패스트트랙...</t>
        </is>
      </c>
      <c r="C111" t="inlineStr">
        <is>
          <t>https://www.veritas-a.com/news/articleView.html?idxno=622397</t>
        </is>
      </c>
      <c r="D111" t="inlineStr">
        <is>
          <t>Fri, 07 Aug 2026 11:54:00 +0900</t>
        </is>
      </c>
      <c r="E111">
        <f>HYPERLINK("https://cdn.veritas-a.com/news/thumbnail/202608/622397_535480_5228_v150.jpg", IMAGE("https://cdn.veritas-a.com/news/thumbnail/202608/622397_535480_5228_v150.jpg"))</f>
        <v/>
      </c>
    </row>
    <row r="112">
      <c r="A112" t="n">
        <v>111</v>
      </c>
      <c r="B112" t="inlineStr">
        <is>
          <t>전북대, AX 학사~박사까지 8년→최단 5.5년 가능…톱 100 AI 특화대학원...</t>
        </is>
      </c>
      <c r="C112" t="inlineStr">
        <is>
          <t>https://n.news.naver.com/mnews/article/030/0003455196?sid=102</t>
        </is>
      </c>
      <c r="D112" t="inlineStr">
        <is>
          <t>Fri, 07 Aug 2026 11:43:00 +0900</t>
        </is>
      </c>
      <c r="E11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3">
      <c r="A113" t="n">
        <v>112</v>
      </c>
      <c r="B113" t="inlineStr">
        <is>
          <t>&amp;quot;방위산업 육성 어떻게&amp;quot;…뉴스1 전북, '방위산업의 육성 방향과 전략'</t>
        </is>
      </c>
      <c r="C113" t="inlineStr">
        <is>
          <t>https://n.news.naver.com/mnews/article/421/0009068290?sid=102</t>
        </is>
      </c>
      <c r="D113" t="inlineStr">
        <is>
          <t>Mon, 20 Jul 2026 13:20:00 +0900</t>
        </is>
      </c>
      <c r="E11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4">
      <c r="A114" t="n">
        <v>113</v>
      </c>
      <c r="B114" t="inlineStr">
        <is>
          <t>'유럽 방산블록'에 수주 주춤…K방산 승부처는</t>
        </is>
      </c>
      <c r="C114" t="inlineStr">
        <is>
          <t>https://news.mtn.co.kr/news-detail/2026071616414621415</t>
        </is>
      </c>
      <c r="D114" t="inlineStr">
        <is>
          <t>Thu, 16 Jul 2026 17:54:00 +0900</t>
        </is>
      </c>
      <c r="E11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캐나다 잠수함 고배 'K-방산'…&amp;quot;'MOU·협정' 나토 심장 노려야&amp;quot;</t>
        </is>
      </c>
      <c r="C122" t="inlineStr">
        <is>
          <t>https://n.news.naver.com/mnews/article/008/0005382538?sid=100</t>
        </is>
      </c>
      <c r="D122" t="inlineStr">
        <is>
          <t>Tue, 07 Jul 2026 13:45:00 +0900</t>
        </is>
      </c>
      <c r="E12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3">
      <c r="A123" t="n">
        <v>122</v>
      </c>
      <c r="B123" t="inlineStr">
        <is>
          <t>전북대 총동창회 &amp;quot;3대 메가프로젝트 전북자치도 배제…국가균형발전 퇴...</t>
        </is>
      </c>
      <c r="C123" t="inlineStr">
        <is>
          <t>http://www.domin.co.kr/news/articleView.html?idxno=1560889</t>
        </is>
      </c>
      <c r="D123" t="inlineStr">
        <is>
          <t>Mon, 06 Jul 2026 17:40:00 +0900</t>
        </is>
      </c>
      <c r="E123">
        <f>HYPERLINK("http://www.domin.co.kr/news/thumbnail/202607/1560889_771494_3857_v150.jpg", IMAGE("http://www.domin.co.kr/news/thumbnail/202607/1560889_771494_3857_v150.jpg"))</f>
        <v/>
      </c>
    </row>
    <row r="124">
      <c r="A124" t="n">
        <v>123</v>
      </c>
      <c r="B124" t="inlineStr">
        <is>
          <t>전북대 총동창회, &amp;quot;전북, 메가프로젝트 소외···정부 보완책 마련해야...</t>
        </is>
      </c>
      <c r="C124" t="inlineStr">
        <is>
          <t>http://www.jeollailbo.com/news/articleView.html?idxno=804566</t>
        </is>
      </c>
      <c r="D124" t="inlineStr">
        <is>
          <t>Mon, 06 Jul 2026 16:54:00 +0900</t>
        </is>
      </c>
      <c r="E124">
        <f>HYPERLINK("https://cdn.jeollailbo.com/news/thumbnail/202607/804566_192300_3924_v150.jpg", IMAGE("https://cdn.jeollailbo.com/news/thumbnail/202607/804566_192300_3924_v150.jpg"))</f>
        <v/>
      </c>
    </row>
    <row r="125">
      <c r="A125" t="n">
        <v>124</v>
      </c>
      <c r="B125" t="inlineStr">
        <is>
          <t>전북대 총동창회 “정부 메가프로젝트서 전북 배제는 국가균형발전 후...</t>
        </is>
      </c>
      <c r="C125" t="inlineStr">
        <is>
          <t>https://n.news.naver.com/mnews/article/030/0003444731?sid=102</t>
        </is>
      </c>
      <c r="D125" t="inlineStr">
        <is>
          <t>Mon, 06 Jul 2026 12:03:00 +0900</t>
        </is>
      </c>
      <c r="E12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6">
      <c r="A126" t="n">
        <v>125</v>
      </c>
      <c r="B126" t="inlineStr">
        <is>
          <t>전북대 총동창회 “메가프로젝트 전북 배제, 균형발전 후퇴”</t>
        </is>
      </c>
      <c r="C126" t="inlineStr">
        <is>
          <t>https://n.news.naver.com/mnews/article/020/0003731757?sid=100</t>
        </is>
      </c>
      <c r="D126" t="inlineStr">
        <is>
          <t>Mon, 06 Jul 2026 11:19:00 +0900</t>
        </is>
      </c>
      <c r="E12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27">
      <c r="A127" t="n">
        <v>126</v>
      </c>
      <c r="B127" t="inlineStr">
        <is>
          <t>2년 표류 끝 사업 재개…7.8조원 KDDX가 남긴 과제, &amp;quot;갈등보다 국익 우선...</t>
        </is>
      </c>
      <c r="C127" t="inlineStr">
        <is>
          <t>https://n.news.naver.com/mnews/article/138/0002233138?sid=101</t>
        </is>
      </c>
      <c r="D127" t="inlineStr">
        <is>
          <t>Sat, 04 Jul 2026 15:25:00 +0900</t>
        </is>
      </c>
      <c r="E12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8">
      <c r="A128" t="n">
        <v>127</v>
      </c>
      <c r="B128" t="inlineStr">
        <is>
          <t>&amp;quot;방산 기술·MRO 합친 '패키지 수출' 늘려야&amp;quot;</t>
        </is>
      </c>
      <c r="C128" t="inlineStr">
        <is>
          <t>https://n.news.naver.com/mnews/article/015/0005304632?sid=101</t>
        </is>
      </c>
      <c r="D128" t="inlineStr">
        <is>
          <t>Tue, 30 Jun 2026 17:32:00 +0900</t>
        </is>
      </c>
      <c r="E12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9">
      <c r="A129" t="n">
        <v>128</v>
      </c>
      <c r="B129" t="inlineStr">
        <is>
          <t>K방산 인력 양성 모델 바뀐다···전북대, 대규모 '채용연계' 산학협력</t>
        </is>
      </c>
      <c r="C129" t="inlineStr">
        <is>
          <t>http://www.enewstoday.co.kr/news/articleView.html?idxno=2443538</t>
        </is>
      </c>
      <c r="D129" t="inlineStr">
        <is>
          <t>Mon, 29 Jun 2026 17:55:00 +0900</t>
        </is>
      </c>
      <c r="E129">
        <f>HYPERLINK("https://cdn.enewstoday.co.kr/news/thumbnail/202606/2443538_1280558_5515_v150.jpg", IMAGE("https://cdn.enewstoday.co.kr/news/thumbnail/202606/2443538_1280558_5515_v150.jpg"))</f>
        <v/>
      </c>
    </row>
    <row r="130">
      <c r="A130" t="n">
        <v>129</v>
      </c>
      <c r="B130" t="inlineStr">
        <is>
          <t>전북대, 국내 핵심 방산기업과 채용연계형 산학협력</t>
        </is>
      </c>
      <c r="C130" t="inlineStr">
        <is>
          <t>https://sjbnews.com/news/news.php?number=881672</t>
        </is>
      </c>
      <c r="D130" t="inlineStr">
        <is>
          <t>Sun, 28 Jun 2026 19:24:00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전북대, 현대로템·KAI 등 방산기업 15곳과 채용연계 인재양성 나선다</t>
        </is>
      </c>
      <c r="C131" t="inlineStr">
        <is>
          <t>http://www.jeonmin.co.kr/news/articleView.html?idxno=442319</t>
        </is>
      </c>
      <c r="D131" t="inlineStr">
        <is>
          <t>Sun, 28 Jun 2026 12:10:00 +0900</t>
        </is>
      </c>
      <c r="E131">
        <f>HYPERLINK("http://www.jeonmin.co.kr/news/thumbnail/202606/442319_151104_85_v150.jpg", IMAGE("http://www.jeonmin.co.kr/news/thumbnail/202606/442319_151104_85_v150.jpg"))</f>
        <v/>
      </c>
    </row>
    <row r="132">
      <c r="A132" t="n">
        <v>131</v>
      </c>
      <c r="B132" t="inlineStr">
        <is>
          <t>전북대, 방산기업·기관 15곳과 협약 &amp;quot;채용 연계형 전문인재 육성&amp;quot;</t>
        </is>
      </c>
      <c r="C132" t="inlineStr">
        <is>
          <t>https://n.news.naver.com/mnews/article/421/0009026389?sid=102</t>
        </is>
      </c>
      <c r="D132" t="inlineStr">
        <is>
          <t>Fri, 26 Jun 2026 17:52:00 +0900</t>
        </is>
      </c>
      <c r="E132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3">
      <c r="A133" t="n">
        <v>132</v>
      </c>
      <c r="B133" t="inlineStr">
        <is>
          <t>200억 더 깎자는 말에 문재인의 대답... K9 계약 살렸다</t>
        </is>
      </c>
      <c r="C133" t="inlineStr">
        <is>
          <t>https://n.news.naver.com/mnews/article/469/0000942173?sid=100</t>
        </is>
      </c>
      <c r="D133" t="inlineStr">
        <is>
          <t>Tue, 14 Jul 2026 14:00:00 +0900</t>
        </is>
      </c>
      <c r="E13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>
        <f>HYPERLINK("//kookbang.dema.mil.kr/newspaper/2022/images/common/meta_logo.jpg", IMAGE("//kookbang.dema.mil.kr/newspaper/2022/images/common/meta_logo.jpg"))</f>
        <v/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전북대, '첨단산업 인재양성 부트캠프' AI 분야 선정</t>
        </is>
      </c>
      <c r="C173" t="inlineStr">
        <is>
          <t>http://www.jeonmin.co.kr/news/articleView.html?idxno=435119</t>
        </is>
      </c>
      <c r="D173" t="inlineStr">
        <is>
          <t>Wed, 04 Mar 2026 20:48:00 +0900</t>
        </is>
      </c>
      <c r="E173">
        <f>HYPERLINK("http://www.jeonmin.co.kr/news/thumbnail/202603/435119_144745_4131_v150.jpg", IMAGE("http://www.jeonmin.co.kr/news/thumbnail/202603/435119_144745_4131_v150.jpg"))</f>
        <v/>
      </c>
    </row>
    <row r="174">
      <c r="A174" t="n">
        <v>173</v>
      </c>
      <c r="B174" t="inlineStr">
        <is>
          <t>“AI·방산 인재 키운다”…전북대, 71억 ‘첨단인재양성 부트캠프’ 선...</t>
        </is>
      </c>
      <c r="C174" t="inlineStr">
        <is>
          <t>https://n.news.naver.com/mnews/article/002/0002430291?sid=102</t>
        </is>
      </c>
      <c r="D174" t="inlineStr">
        <is>
          <t>Wed, 04 Mar 2026 16:47:00 +0900</t>
        </is>
      </c>
      <c r="E17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5">
      <c r="A175" t="n">
        <v>174</v>
      </c>
      <c r="B175" t="inlineStr">
        <is>
          <t>전북대, 실무형 방산 AI 전문인력 양성 나선다</t>
        </is>
      </c>
      <c r="C175" t="inlineStr">
        <is>
          <t>http://www.jeollailbo.com/news/articleView.html?idxno=793790</t>
        </is>
      </c>
      <c r="D175" t="inlineStr">
        <is>
          <t>Wed, 04 Mar 2026 16:38:00 +0900</t>
        </is>
      </c>
      <c r="E175">
        <f>HYPERLINK("https://cdn.jeollailbo.com/news/thumbnail/202603/793790_181909_109_v150.jpg", IMAGE("https://cdn.jeollailbo.com/news/thumbnail/202603/793790_181909_109_v150.jpg"))</f>
        <v/>
      </c>
    </row>
    <row r="176">
      <c r="A176" t="n">
        <v>175</v>
      </c>
      <c r="B176" t="inlineStr">
        <is>
          <t>[기획]中 &amp;quot;美 대신 우리와&amp;quot;…K-조선, 글로벌 해양 안보 핵심축 부상</t>
        </is>
      </c>
      <c r="C176" t="inlineStr">
        <is>
          <t>https://www.m-i.kr/news/articleView.html?idxno=1392350</t>
        </is>
      </c>
      <c r="D176" t="inlineStr">
        <is>
          <t>Sun, 19 Jul 2026 13:00:00 +0900</t>
        </is>
      </c>
      <c r="E176">
        <f>HYPERLINK("https://cdn.m-i.kr/news/thumbnail/202607/1392350_1180000_1950_v150.jpg", IMAGE("https://cdn.m-i.kr/news/thumbnail/202607/1392350_1180000_1950_v150.jpg"))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K-방산, 캐나다서 아쉬운 고배…나토 시장 공략 숙제 남겼다</t>
        </is>
      </c>
      <c r="C178" t="inlineStr">
        <is>
          <t>https://www.asiatoday.co.kr/kn/view.php?key=20260707010002482</t>
        </is>
      </c>
      <c r="D178" t="inlineStr">
        <is>
          <t>Tue, 07 Jul 2026 14:30:00 +0900</t>
        </is>
      </c>
      <c r="E178">
        <f>HYPERLINK("https://img.asiatoday.co.kr/file/2026y/07m/08d/2026070701000473600024821.jpg", IMAGE("https://img.asiatoday.co.kr/file/2026y/07m/08d/2026070701000473600024821.jpg"))</f>
        <v/>
      </c>
    </row>
    <row r="179">
      <c r="A179" t="n">
        <v>178</v>
      </c>
      <c r="B179" t="inlineStr">
        <is>
          <t>한화오션 차기 구축함 수주 되레 '독배' 되나, 원가 상승에 수익성 해법...</t>
        </is>
      </c>
      <c r="C179" t="inlineStr">
        <is>
          <t>https://www.businesspost.co.kr/BP?command=article_view&amp;num=441425</t>
        </is>
      </c>
      <c r="D179" t="inlineStr">
        <is>
          <t>Thu, 02 Jul 2026 16:56:00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수주전, 진흙탕 싸움에 상처뿐인 ‘승리’</t>
        </is>
      </c>
      <c r="C180" t="inlineStr">
        <is>
          <t>http://www.newstomato.com/ReadNews.aspx?no=1305926&amp;inflow=N</t>
        </is>
      </c>
      <c r="D180" t="inlineStr">
        <is>
          <t>Thu, 02 Jul 2026 16:22:00 +0900</t>
        </is>
      </c>
      <c r="E180">
        <f>HYPERLINK("https://image.newstomato.com/newsimg/2026/7/2/1305926/attach.jpg?v=202607021707", IMAGE("https://image.newstomato.com/newsimg/2026/7/2/1305926/attach.jpg?v=202607021707"))</f>
        <v/>
      </c>
    </row>
    <row r="181">
      <c r="A181" t="n">
        <v>180</v>
      </c>
      <c r="B181" t="inlineStr">
        <is>
          <t>[포토] 'K-방산' 미래는?</t>
        </is>
      </c>
      <c r="C181" t="inlineStr">
        <is>
          <t>http://www.enewstoday.co.kr/news/articleView.html?idxno=2444454</t>
        </is>
      </c>
      <c r="D181" t="inlineStr">
        <is>
          <t>Wed, 01 Jul 2026 20:23:00 +0900</t>
        </is>
      </c>
      <c r="E181">
        <f>HYPERLINK("https://cdn.enewstoday.co.kr/news/thumbnail/202607/2444454_1281727_3555_v150.jpg", IMAGE("https://cdn.enewstoday.co.kr/news/thumbnail/202607/2444454_1281727_3555_v150.jpg"))</f>
        <v/>
      </c>
    </row>
    <row r="182">
      <c r="A182" t="n">
        <v>181</v>
      </c>
      <c r="B182" t="inlineStr">
        <is>
          <t>[K-방산 그림자] A사, 전체 산재 32% 집중…사망자 1위는 B사</t>
        </is>
      </c>
      <c r="C182" t="inlineStr">
        <is>
          <t>https://www.ajunews.com/view/20260629161344309</t>
        </is>
      </c>
      <c r="D182" t="inlineStr">
        <is>
          <t>Wed, 01 Jul 2026 05:02:00 +0900</t>
        </is>
      </c>
      <c r="E182">
        <f>HYPERLINK("https://image.ajunews.com/content/image/2026/06/30/20260630083334982834.png", IMAGE("https://image.ajunews.com/content/image/2026/06/30/20260630083334982834.png"))</f>
        <v/>
      </c>
    </row>
    <row r="183">
      <c r="A183" t="n">
        <v>182</v>
      </c>
      <c r="B183" t="inlineStr">
        <is>
          <t>1000만원짜리 갓성비 K드론, 자폭실험 막혀 캐나다 갔다</t>
        </is>
      </c>
      <c r="C183" t="inlineStr">
        <is>
          <t>https://n.news.naver.com/mnews/article/025/0003533035?sid=101</t>
        </is>
      </c>
      <c r="D183" t="inlineStr">
        <is>
          <t>Thu, 25 Jun 2026 06:00:00 +0900</t>
        </is>
      </c>
      <c r="E18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84">
      <c r="A184" t="n">
        <v>183</v>
      </c>
      <c r="B184" t="inlineStr">
        <is>
          <t>미국 군함 10척 가능하나…조선업계, 비전투함부터 노린다</t>
        </is>
      </c>
      <c r="C184" t="inlineStr">
        <is>
          <t>https://news.mtn.co.kr/news-detail/2026062416272022572</t>
        </is>
      </c>
      <c r="D184" t="inlineStr">
        <is>
          <t>Wed, 24 Jun 2026 17:40:00 +0900</t>
        </is>
      </c>
      <c r="E18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85">
      <c r="A185" t="n">
        <v>184</v>
      </c>
      <c r="B185" t="inlineStr">
        <is>
          <t>40년 만에 바뀐 한일 조선 판도…日 LNG선 SOS에 韓의 셈법은</t>
        </is>
      </c>
      <c r="C185" t="inlineStr">
        <is>
          <t>https://www.kukinews.com/article/view/kuk202606240141</t>
        </is>
      </c>
      <c r="D185" t="inlineStr">
        <is>
          <t>Wed, 24 Jun 2026 16:50:00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잠수함은 스웨덴, 장갑차는 獨에… 유럽 ‘방산 블록’에 막히는 K방산</t>
        </is>
      </c>
      <c r="C186" t="inlineStr">
        <is>
          <t>https://n.news.naver.com/mnews/article/023/0003983703?sid=101</t>
        </is>
      </c>
      <c r="D186" t="inlineStr">
        <is>
          <t>Wed, 24 Jun 2026 00:48:00 +0900</t>
        </is>
      </c>
      <c r="E18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87">
      <c r="A187" t="n">
        <v>186</v>
      </c>
      <c r="B187" t="inlineStr">
        <is>
          <t>[캐나다 잠수함 한독전] 한국, 독일 넘을 카드는…CPSP 승부처 된 산업협...</t>
        </is>
      </c>
      <c r="C187" t="inlineStr">
        <is>
          <t>https://www.g-enews.com/view.php?ud=20260621092140531424debea800_1</t>
        </is>
      </c>
      <c r="D187" t="inlineStr">
        <is>
          <t>Sun, 21 Jun 2026 18:46:00 +0900</t>
        </is>
      </c>
      <c r="E18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8">
      <c r="A188" t="n">
        <v>187</v>
      </c>
      <c r="B188" t="inlineStr">
        <is>
          <t>[캐나다 잠수함 한독전] ‘60조원’ 잠수함 사업 6월 말 분수령…정부·...</t>
        </is>
      </c>
      <c r="C188" t="inlineStr">
        <is>
          <t>https://www.g-enews.com/view.php?ud=202606210927279107ea14faf6f5_1</t>
        </is>
      </c>
      <c r="D188" t="inlineStr">
        <is>
          <t>Sun, 21 Jun 2026 18:44:00 +0900</t>
        </is>
      </c>
      <c r="E18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9">
      <c r="A189" t="n">
        <v>188</v>
      </c>
      <c r="B189" t="inlineStr">
        <is>
          <t>날개 단 한화 vs 두뇌 가진 LIG…방산 빅2, KAI 민영화 '맞대결'</t>
        </is>
      </c>
      <c r="C189" t="inlineStr">
        <is>
          <t>https://www.insightkorea.co.kr/news/articleView.html?idxno=248456</t>
        </is>
      </c>
      <c r="D189" t="inlineStr">
        <is>
          <t>Fri, 19 Jun 2026 16:36:00 +0900</t>
        </is>
      </c>
      <c r="E189">
        <f>HYPERLINK("https://cdn.insightkorea.co.kr/news/thumbnail/202606/248456_258423_1424_v150.jpg", IMAGE("https://cdn.insightkorea.co.kr/news/thumbnail/202606/248456_258423_1424_v150.jpg"))</f>
        <v/>
      </c>
    </row>
    <row r="190">
      <c r="A190" t="n">
        <v>189</v>
      </c>
      <c r="B190" t="inlineStr">
        <is>
          <t>성능만으론 부족…K-방산 수출, AI 모델 권한이 새 변수</t>
        </is>
      </c>
      <c r="C190" t="inlineStr">
        <is>
          <t>https://www.m-i.kr/news/articleView.html?idxno=1382936</t>
        </is>
      </c>
      <c r="D190" t="inlineStr">
        <is>
          <t>Thu, 18 Jun 2026 14:18:00 +0900</t>
        </is>
      </c>
      <c r="E190">
        <f>HYPERLINK("https://cdn.m-i.kr/news/thumbnail/202606/1382936_1170058_723_v150.jpg", IMAGE("https://cdn.m-i.kr/news/thumbnail/202606/1382936_1170058_723_v150.jpg"))</f>
        <v/>
      </c>
    </row>
    <row r="191">
      <c r="A191" t="n">
        <v>190</v>
      </c>
      <c r="B191" t="inlineStr">
        <is>
          <t>미-이란 '미완의 종전' 합의···호르무즈 개방에도 긴장감 내재</t>
        </is>
      </c>
      <c r="C191" t="inlineStr">
        <is>
          <t>http://www.enewstoday.co.kr/news/articleView.html?idxno=2439553</t>
        </is>
      </c>
      <c r="D191" t="inlineStr">
        <is>
          <t>Wed, 17 Jun 2026 08:00:00 +0900</t>
        </is>
      </c>
      <c r="E191">
        <f>HYPERLINK("https://cdn.enewstoday.co.kr/news/thumbnail/202606/2439553_1275808_5339_v150.jpg", IMAGE("https://cdn.enewstoday.co.kr/news/thumbnail/202606/2439553_1275808_5339_v150.jpg"))</f>
        <v/>
      </c>
    </row>
    <row r="192">
      <c r="A192" t="n">
        <v>191</v>
      </c>
      <c r="B192" t="inlineStr">
        <is>
          <t>[기획]총수 외교로 열린 북미 방산길, 성패는 '현지 생태계'에 달렸다</t>
        </is>
      </c>
      <c r="C192" t="inlineStr">
        <is>
          <t>https://www.m-i.kr/news/articleView.html?idxno=1382001</t>
        </is>
      </c>
      <c r="D192" t="inlineStr">
        <is>
          <t>Tue, 16 Jun 2026 15:52:00 +0900</t>
        </is>
      </c>
      <c r="E192">
        <f>HYPERLINK("https://cdn.m-i.kr/news/thumbnail/202606/1382001_1169114_5711_v150.jpg", IMAGE("https://cdn.m-i.kr/news/thumbnail/202606/1382001_1169114_5711_v150.jpg"))</f>
        <v/>
      </c>
    </row>
    <row r="193">
      <c r="A193" t="n">
        <v>192</v>
      </c>
      <c r="B193" t="inlineStr">
        <is>
          <t>‘K-방산’ 발목잡는 지체상금...전문가들 “중재·수정계약 적극 활용...</t>
        </is>
      </c>
      <c r="C193" t="inlineStr">
        <is>
          <t>https://www.etoday.co.kr/news/view/2592286</t>
        </is>
      </c>
      <c r="D193" t="inlineStr">
        <is>
          <t>Tue, 16 Jun 2026 05:00:00 +0900</t>
        </is>
      </c>
      <c r="E193">
        <f>HYPERLINK("https://img.etoday.co.kr/pto_db/2026/06/20260611143923_2344823_1200_675.png", IMAGE("https://img.etoday.co.kr/pto_db/2026/06/20260611143923_2344823_1200_675.png"))</f>
        <v/>
      </c>
    </row>
    <row r="194">
      <c r="A194" t="n">
        <v>193</v>
      </c>
      <c r="B194" t="inlineStr">
        <is>
          <t>드론 전쟁이 띄운 방산 배터리…K배터리 진입 가능성은</t>
        </is>
      </c>
      <c r="C194" t="inlineStr">
        <is>
          <t>https://www.g-enews.com/view.php?ud=202606151308362303ea14faf6f5_1</t>
        </is>
      </c>
      <c r="D194" t="inlineStr">
        <is>
          <t>Mon, 15 Jun 2026 20:06:00 +0900</t>
        </is>
      </c>
      <c r="E194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95">
      <c r="A195" t="n">
        <v>194</v>
      </c>
      <c r="B195" t="inlineStr">
        <is>
          <t>전북대-퍼듀대, 글로벌 공동연구 거점 'JPRI' 본격 가동</t>
        </is>
      </c>
      <c r="C195" t="inlineStr">
        <is>
          <t>http://www.jeonmin.co.kr/news/articleView.html?idxno=441476</t>
        </is>
      </c>
      <c r="D195" t="inlineStr">
        <is>
          <t>Sat, 13 Jun 2026 14:42:00 +0900</t>
        </is>
      </c>
      <c r="E195">
        <f>HYPERLINK("http://www.jeonmin.co.kr/news/thumbnail/202606/441476_150377_3754_v150.jpg", IMAGE("http://www.jeonmin.co.kr/news/thumbnail/202606/441476_150377_3754_v150.jpg"))</f>
        <v/>
      </c>
    </row>
    <row r="196">
      <c r="A196" t="n">
        <v>195</v>
      </c>
      <c r="B196" t="inlineStr">
        <is>
          <t>한화오션, KDDX 승기…다음 타깃은 캐나다 잠수함</t>
        </is>
      </c>
      <c r="C196" t="inlineStr">
        <is>
          <t>https://news.mtn.co.kr/news-detail/2026061216335188257</t>
        </is>
      </c>
      <c r="D196" t="inlineStr">
        <is>
          <t>Fri, 12 Jun 2026 17:38:00 +0900</t>
        </is>
      </c>
      <c r="E19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97">
      <c r="A197" t="n">
        <v>196</v>
      </c>
      <c r="B197" t="inlineStr">
        <is>
          <t>전북대-퍼듀대 고등연구소 '국제 컨퍼런스'개최.. 글로벌 공동연구 거점...</t>
        </is>
      </c>
      <c r="C197" t="inlineStr">
        <is>
          <t>https://www.veritas-a.com/news/articleView.html?idxno=614711</t>
        </is>
      </c>
      <c r="D197" t="inlineStr">
        <is>
          <t>Fri, 12 Jun 2026 14:02:00 +0900</t>
        </is>
      </c>
      <c r="E197">
        <f>HYPERLINK("https://cdn.veritas-a.com/news/thumbnail/202606/614711_527761_4844_v150.jpg", IMAGE("https://cdn.veritas-a.com/news/thumbnail/202606/614711_527761_4844_v150.jpg"))</f>
        <v/>
      </c>
    </row>
    <row r="198">
      <c r="A198" t="n">
        <v>197</v>
      </c>
      <c r="B198" t="inlineStr">
        <is>
          <t>보안 족쇄에 발목 잡힌 현대…방산 퍼즐 맞춘 한화</t>
        </is>
      </c>
      <c r="C198" t="inlineStr">
        <is>
          <t>http://www.newstomato.com/ReadNews.aspx?no=1303827&amp;inflow=N</t>
        </is>
      </c>
      <c r="D198" t="inlineStr">
        <is>
          <t>Fri, 12 Jun 2026 11:48:00 +0900</t>
        </is>
      </c>
      <c r="E198" t="inlineStr">
        <is>
          <t>이미지 없음</t>
        </is>
      </c>
    </row>
    <row r="199">
      <c r="A199" t="n">
        <v>198</v>
      </c>
      <c r="B199" t="inlineStr">
        <is>
          <t>압축 성장 덫에 빠진 K방산…‘가성비 속도전’서 글로벌 스탠더드 시험...</t>
        </is>
      </c>
      <c r="C199" t="inlineStr">
        <is>
          <t>https://n.news.naver.com/mnews/article/050/0000107213?sid=101</t>
        </is>
      </c>
      <c r="D199" t="inlineStr">
        <is>
          <t>Fri, 12 Jun 2026 05:01:00 +0900</t>
        </is>
      </c>
      <c r="E19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200">
      <c r="A200" t="n">
        <v>199</v>
      </c>
      <c r="B200" t="inlineStr">
        <is>
          <t>곧 전장 뛰어들 피지컬 AI…“자율전투로 기술난제 극복”</t>
        </is>
      </c>
      <c r="C200" t="inlineStr">
        <is>
          <t>https://n.news.naver.com/mnews/article/011/0004603882?sid=100</t>
        </is>
      </c>
      <c r="D200" t="inlineStr">
        <is>
          <t>Thu, 26 Mar 2026 17:46:00 +0900</t>
        </is>
      </c>
      <c r="E20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1">
      <c r="A201" t="n">
        <v>200</v>
      </c>
      <c r="B201" t="inlineStr">
        <is>
          <t>[본지-대교협 공동기획中] 생성형 AI 기반 수업 혁신 확산 속 &amp;quot;인간 고유...</t>
        </is>
      </c>
      <c r="C201" t="inlineStr">
        <is>
          <t>https://news.unn.net/news/articleView.html?idxno=593399</t>
        </is>
      </c>
      <c r="D201" t="inlineStr">
        <is>
          <t>Mon, 15 Jun 2026 09:00:00 +0900</t>
        </is>
      </c>
      <c r="E201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[2026방산포럼] '한·UAE' 방산 협력 넓힌다···AI부터 KF-21까지 협력...</t>
        </is>
      </c>
      <c r="C5" t="inlineStr">
        <is>
          <t>http://www.enewstoday.co.kr/news/articleView.html?idxno=2444556</t>
        </is>
      </c>
      <c r="D5" t="inlineStr">
        <is>
          <t>Thu, 02 Jul 2026 03:51:00 +0900</t>
        </is>
      </c>
      <c r="E5">
        <f>HYPERLINK("https://cdn.enewstoday.co.kr/news/thumbnail/202607/2444556_1281841_516_v150.jpg", IMAGE("https://cdn.enewstoday.co.kr/news/thumbnail/202607/2444556_1281841_516_v150.jpg"))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2026-08-23T15:19:40Z</dcterms:created>
  <dcterms:modified xsi:type="dcterms:W3CDTF">2026-08-23T15:19:40Z</dcterms:modified>
</cp:coreProperties>
</file>