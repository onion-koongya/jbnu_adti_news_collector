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15곳 방산기업과 ‘교육부터 채용까지' 연계</t>
        </is>
      </c>
      <c r="C2" t="inlineStr">
        <is>
          <t>https://sjbnews.com/news/news.php?number=888194</t>
        </is>
      </c>
      <c r="D2" t="inlineStr">
        <is>
          <t>Sun, 20 Sep 2026 18:24:00 +0900</t>
        </is>
      </c>
      <c r="E2">
        <f>HYPERLINK("http://sjbnews.com/data/data_file/thum_888194_202609_0.jpg", IMAGE("http://sjbnews.com/data/data_file/thum_888194_202609_0.jpg"))</f>
        <v/>
      </c>
    </row>
    <row r="3">
      <c r="A3" t="n">
        <v>2</v>
      </c>
      <c r="B3" t="inlineStr">
        <is>
          <t>** 전북대, 방산기업 15곳과 '교육부터 채용까지'</t>
        </is>
      </c>
      <c r="C3" t="inlineStr">
        <is>
          <t>https://n.news.naver.com/mnews/article/079/0004191066?sid=102</t>
        </is>
      </c>
      <c r="D3" t="inlineStr">
        <is>
          <t>Fri, 18 Sep 2026 16:55:00 +0900</t>
        </is>
      </c>
      <c r="E3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'인재 육성 채용연계 산학협력 모델' 본격 가동</t>
        </is>
      </c>
      <c r="C5" t="inlineStr">
        <is>
          <t>https://n.news.naver.com/mnews/article/030/0003468198?sid=102</t>
        </is>
      </c>
      <c r="D5" t="inlineStr">
        <is>
          <t>Fri, 18 Sep 2026 10:49:00 +0900</t>
        </is>
      </c>
      <c r="E5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6">
      <c r="A6" t="n">
        <v>5</v>
      </c>
      <c r="B6" t="inlineStr">
        <is>
          <t>** 전북대학교 계약정원제 사업, 우주항공·AI·첨단방산 미래인재 양성 '비...</t>
        </is>
      </c>
      <c r="C6" t="inlineStr">
        <is>
          <t>https://www.lecturernews.com/news/articleView.html?idxno=210469</t>
        </is>
      </c>
      <c r="D6" t="inlineStr">
        <is>
          <t>Sat, 12 Sep 2026 16:34:00 +0900</t>
        </is>
      </c>
      <c r="E6">
        <f>HYPERLINK("https://cdn.lecturernews.com/news/thumbnail/202609/210469_479890_445_v150.jpg", IMAGE("https://cdn.lecturernews.com/news/thumbnail/202609/210469_479890_445_v150.jpg"))</f>
        <v/>
      </c>
    </row>
    <row r="7">
      <c r="A7" t="n">
        <v>6</v>
      </c>
      <c r="B7" t="inlineStr">
        <is>
          <t>** 전북대, 전북 최초 국방사업관리사 재직자 전문과정</t>
        </is>
      </c>
      <c r="C7" t="inlineStr">
        <is>
          <t>https://sjbnews.com/news/news.php?number=884391</t>
        </is>
      </c>
      <c r="D7" t="inlineStr">
        <is>
          <t>Mon, 03 Aug 2026 18:52:00 +0900</t>
        </is>
      </c>
      <c r="E7">
        <f>HYPERLINK("http://sjbnews.com/data/data_file/thum_884391_202608_0.jpg", IMAGE("http://sjbnews.com/data/data_file/thum_884391_202608_0.jpg"))</f>
        <v/>
      </c>
    </row>
    <row r="8">
      <c r="A8" t="n">
        <v>7</v>
      </c>
      <c r="B8" t="inlineStr">
        <is>
          <t>** 전북 첫 '국방사업관리사' 재직자 과정 운영…전북대, 전문인력 45명 배...</t>
        </is>
      </c>
      <c r="C8" t="inlineStr">
        <is>
          <t>https://n.news.naver.com/mnews/article/002/0002450696?sid=102</t>
        </is>
      </c>
      <c r="D8" t="inlineStr">
        <is>
          <t>Mon, 03 Aug 2026 12:51:00 +0900</t>
        </is>
      </c>
      <c r="E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9">
      <c r="A9" t="n">
        <v>8</v>
      </c>
      <c r="B9" t="inlineStr">
        <is>
          <t>** 전북대, 국방사업관리사 재직자 전문과정 마쳐…&amp;quot;45명 수료&amp;quot;</t>
        </is>
      </c>
      <c r="C9" t="inlineStr">
        <is>
          <t>https://n.news.naver.com/mnews/article/003/0014104540?sid=102</t>
        </is>
      </c>
      <c r="D9" t="inlineStr">
        <is>
          <t>Mon, 03 Aug 2026 11:26:00 +0900</t>
        </is>
      </c>
      <c r="E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">
      <c r="A10" t="n">
        <v>9</v>
      </c>
      <c r="B10" t="inlineStr">
        <is>
          <t>** 전북대, 방산혁신클러스터 전문인력 양성 첫 발…'국방사업관리사 재직...</t>
        </is>
      </c>
      <c r="C10" t="inlineStr">
        <is>
          <t>https://n.news.naver.com/mnews/article/030/0003453553?sid=102</t>
        </is>
      </c>
      <c r="D10" t="inlineStr">
        <is>
          <t>Mon, 03 Aug 2026 10:32:00 +0900</t>
        </is>
      </c>
      <c r="E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전북대 첨단방위산업학과 서유정 학생.. 탈레스코리아 'STEM for ALL' 장학...</t>
        </is>
      </c>
      <c r="C17" t="inlineStr">
        <is>
          <t>https://www.veritas-a.com/news/articleView.html?idxno=623466</t>
        </is>
      </c>
      <c r="D17" t="inlineStr">
        <is>
          <t>Tue, 18 Aug 2026 12:24:00 +0900</t>
        </is>
      </c>
      <c r="E17">
        <f>HYPERLINK("https://cdn.veritas-a.com/news/thumbnail/202608/623466_536560_2318_v150.jpg", IMAGE("https://cdn.veritas-a.com/news/thumbnail/202608/623466_536560_2318_v150.jpg"))</f>
        <v/>
      </c>
    </row>
    <row r="18">
      <c r="A18" t="n">
        <v>17</v>
      </c>
      <c r="B18" t="inlineStr">
        <is>
          <t>** 전북대, 글로벌 항공·방위기업 '탈레스코리아' 장학생 배출</t>
        </is>
      </c>
      <c r="C18" t="inlineStr">
        <is>
          <t>https://n.news.naver.com/mnews/article/003/0014132599?sid=102</t>
        </is>
      </c>
      <c r="D18" t="inlineStr">
        <is>
          <t>Tue, 18 Aug 2026 11:30:00 +0900</t>
        </is>
      </c>
      <c r="E18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9">
      <c r="A19" t="n">
        <v>18</v>
      </c>
      <c r="B19" t="inlineStr">
        <is>
          <t>** 전북대, 한화·현대로템·보잉 등 임원 객원교수 초빙…방산 인재양성 ...</t>
        </is>
      </c>
      <c r="C19" t="inlineStr">
        <is>
          <t>https://www.betanews.net/article/view/beta202607300039</t>
        </is>
      </c>
      <c r="D19" t="inlineStr">
        <is>
          <t>Thu, 30 Jul 2026 14:10:00 +0900</t>
        </is>
      </c>
      <c r="E19">
        <f>HYPERLINK("https://www.betanews.net/data/beta/image/2026/07/30/beta20260730000040.jpg", IMAGE("https://www.betanews.net/data/beta/image/2026/07/30/beta20260730000040.jpg"))</f>
        <v/>
      </c>
    </row>
    <row r="20">
      <c r="A20" t="n">
        <v>19</v>
      </c>
      <c r="B20" t="inlineStr">
        <is>
          <t>美 지상·해양 방산사업 핵심축 '한화디펜스USA'…현지화 속도</t>
        </is>
      </c>
      <c r="C20" t="inlineStr">
        <is>
          <t>https://news.mtn.co.kr/news-detail/2026092216533024563</t>
        </is>
      </c>
      <c r="D20" t="inlineStr">
        <is>
          <t>Tue, 22 Sep 2026 17:50:00 +0900</t>
        </is>
      </c>
      <c r="E20">
        <f>HYPERLINK("https://menu.mtn.co.kr/upload/article/2026/09/22/2026092216533024563_00_228.jpg", IMAGE("https://menu.mtn.co.kr/upload/article/2026/09/22/2026092216533024563_00_228.jpg"))</f>
        <v/>
      </c>
    </row>
    <row r="21">
      <c r="A21" t="n">
        <v>20</v>
      </c>
      <c r="B21" t="inlineStr">
        <is>
          <t>전북대, 방산기업 15곳과 맞춤형 인재양성 프로그램 운영</t>
        </is>
      </c>
      <c r="C21" t="inlineStr">
        <is>
          <t>https://n.news.naver.com/mnews/article/003/0014200391?sid=102</t>
        </is>
      </c>
      <c r="D21" t="inlineStr">
        <is>
          <t>Fri, 18 Sep 2026 16:41:00 +0900</t>
        </is>
      </c>
      <c r="E21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2">
      <c r="A22" t="n">
        <v>21</v>
      </c>
      <c r="B22" t="inlineStr">
        <is>
          <t>첨단 드론 잇단 추락…방산 ‘무인 경쟁력’ 우려 확대</t>
        </is>
      </c>
      <c r="C22" t="inlineStr">
        <is>
          <t>http://www.newstomato.com/ReadNews.aspx?no=1314054&amp;inflow=N</t>
        </is>
      </c>
      <c r="D22" t="inlineStr">
        <is>
          <t>Thu, 17 Sep 2026 15:00:00 +0900</t>
        </is>
      </c>
      <c r="E22">
        <f>HYPERLINK("https://image.newstomato.com/newsimg/2026/9/17/1314054/attach.jpg?v=202609180945", IMAGE("https://image.newstomato.com/newsimg/2026/9/17/1314054/attach.jpg?v=202609180945"))</f>
        <v/>
      </c>
    </row>
    <row r="23">
      <c r="A23" t="n">
        <v>22</v>
      </c>
      <c r="B23" t="inlineStr">
        <is>
          <t>&amp;quot;민주당 맹목적 지지 벗어나 전북발전 성과 요구하자&amp;quot;…오창환 전북대 ...</t>
        </is>
      </c>
      <c r="C23" t="inlineStr">
        <is>
          <t>https://n.news.naver.com/mnews/article/002/0002457143?sid=102</t>
        </is>
      </c>
      <c r="D23" t="inlineStr">
        <is>
          <t>Thu, 17 Sep 2026 11:00:00 +0900</t>
        </is>
      </c>
      <c r="E23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4">
      <c r="A24" t="n">
        <v>23</v>
      </c>
      <c r="B24" t="inlineStr">
        <is>
          <t>K방산, 100조 수주에도 점유율 2%…&amp;quot;체급 키워 메인 시장 가야&amp;quot;</t>
        </is>
      </c>
      <c r="C24" t="inlineStr">
        <is>
          <t>https://www.insightkorea.co.kr/news/articleView.html?idxno=254595</t>
        </is>
      </c>
      <c r="D24" t="inlineStr">
        <is>
          <t>Tue, 15 Sep 2026 16:40:00 +0900</t>
        </is>
      </c>
      <c r="E24">
        <f>HYPERLINK("https://cdn.insightkorea.co.kr/news/thumbnail/202609/254595_266314_382_v150.jpg", IMAGE("https://cdn.insightkorea.co.kr/news/thumbnail/202609/254595_266314_382_v150.jpg"))</f>
        <v/>
      </c>
    </row>
    <row r="25">
      <c r="A25" t="n">
        <v>24</v>
      </c>
      <c r="B25" t="inlineStr">
        <is>
          <t>사거리 100㎞, 분당 11발...차세대 K9 자주포의 조건은</t>
        </is>
      </c>
      <c r="C25" t="inlineStr">
        <is>
          <t>https://n.news.naver.com/mnews/article/469/0000953681?sid=100</t>
        </is>
      </c>
      <c r="D25" t="inlineStr">
        <is>
          <t>Sun, 13 Sep 2026 10:00:00 +0900</t>
        </is>
      </c>
      <c r="E25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6">
      <c r="A26" t="n">
        <v>25</v>
      </c>
      <c r="B26" t="inlineStr">
        <is>
          <t>김동관 한화 부회장, 크로아티아도 뚫었다…천무, 6400억 '수주'</t>
        </is>
      </c>
      <c r="C26" t="inlineStr">
        <is>
          <t>https://www.insightkorea.co.kr/news/articleView.html?idxno=254410</t>
        </is>
      </c>
      <c r="D26" t="inlineStr">
        <is>
          <t>Fri, 11 Sep 2026 16:58:00 +0900</t>
        </is>
      </c>
      <c r="E26">
        <f>HYPERLINK("https://cdn.insightkorea.co.kr/news/thumbnail/202609/254410_266038_266_v150.jpg", IMAGE("https://cdn.insightkorea.co.kr/news/thumbnail/202609/254410_266038_266_v150.jpg"))</f>
        <v/>
      </c>
    </row>
    <row r="27">
      <c r="A27" t="n">
        <v>26</v>
      </c>
      <c r="B27" t="inlineStr">
        <is>
          <t>[전북 24시] 전북대ㆍ공군미사일방어사령부, 방공·미사일방어 역량 강...</t>
        </is>
      </c>
      <c r="C27" t="inlineStr">
        <is>
          <t>https://n.news.naver.com/mnews/article/586/0000138022?sid=102</t>
        </is>
      </c>
      <c r="D27" t="inlineStr">
        <is>
          <t>Fri, 11 Sep 2026 16:35:00 +0900</t>
        </is>
      </c>
      <c r="E2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8">
      <c r="A28" t="n">
        <v>27</v>
      </c>
      <c r="B28" t="inlineStr">
        <is>
          <t>전북대·미사일방어사령부, 미래 방공 역량 강화 '맞손'</t>
        </is>
      </c>
      <c r="C28" t="inlineStr">
        <is>
          <t>https://n.news.naver.com/mnews/article/003/0014184908?sid=102</t>
        </is>
      </c>
      <c r="D28" t="inlineStr">
        <is>
          <t>Fri, 11 Sep 2026 14:59:00 +0900</t>
        </is>
      </c>
      <c r="E28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9">
      <c r="A29" t="n">
        <v>28</v>
      </c>
      <c r="B29" t="inlineStr">
        <is>
          <t>전북대 국방산업연구소-공군미사일방어사령부, 국방과학기술 연구·전문...</t>
        </is>
      </c>
      <c r="C29" t="inlineStr">
        <is>
          <t>https://n.news.naver.com/mnews/article/030/0003465967?sid=102</t>
        </is>
      </c>
      <c r="D29" t="inlineStr">
        <is>
          <t>Fri, 11 Sep 2026 14:13:00 +0900</t>
        </is>
      </c>
      <c r="E29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0">
      <c r="A30" t="n">
        <v>29</v>
      </c>
      <c r="B30" t="inlineStr">
        <is>
          <t>13년 만에 다시 태국…한화오션, 함정 수출 사업 재개에 후속 사업 기대</t>
        </is>
      </c>
      <c r="C30" t="inlineStr">
        <is>
          <t>https://www.g-enews.com/view.php?ud=202609091411036783ea14faf6f5_1</t>
        </is>
      </c>
      <c r="D30" t="inlineStr">
        <is>
          <t>Wed, 09 Sep 2026 18:00:00 +0900</t>
        </is>
      </c>
      <c r="E3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1">
      <c r="A31" t="n">
        <v>30</v>
      </c>
      <c r="B31" t="inlineStr">
        <is>
          <t>[기획]수출 늘어난 K-방산, 협력사 지원도 늘렸다</t>
        </is>
      </c>
      <c r="C31" t="inlineStr">
        <is>
          <t>https://www.m-i.kr/news/articleView.html?idxno=1411337</t>
        </is>
      </c>
      <c r="D31" t="inlineStr">
        <is>
          <t>Tue, 08 Sep 2026 15:30:00 +0900</t>
        </is>
      </c>
      <c r="E31">
        <f>HYPERLINK("https://cdn.m-i.kr/news/thumbnail/202609/1411337_1199637_2253_v150.jpg", IMAGE("https://cdn.m-i.kr/news/thumbnail/202609/1411337_1199637_2253_v150.jpg"))</f>
        <v/>
      </c>
    </row>
    <row r="32">
      <c r="A32" t="n">
        <v>31</v>
      </c>
      <c r="B32" t="inlineStr">
        <is>
          <t>양오봉 전북대 총장, ‘전고를 빛낸 사람들 상' 수상</t>
        </is>
      </c>
      <c r="C32" t="inlineStr">
        <is>
          <t>https://sjbnews.com/news/news.php?number=887083</t>
        </is>
      </c>
      <c r="D32" t="inlineStr">
        <is>
          <t>Tue, 08 Sep 2026 00:37:00 +0900</t>
        </is>
      </c>
      <c r="E32">
        <f>HYPERLINK("http://sjbnews.com/data/data_file/thum_887083_202609_0.jpg", IMAGE("http://sjbnews.com/data/data_file/thum_887083_202609_0.jpg"))</f>
        <v/>
      </c>
    </row>
    <row r="33">
      <c r="A33" t="n">
        <v>32</v>
      </c>
      <c r="B33" t="inlineStr">
        <is>
          <t>전차 넘어 항공우주로…현대로템, 종합방산 도약 속도</t>
        </is>
      </c>
      <c r="C33" t="inlineStr">
        <is>
          <t>https://www.g-enews.com/view.php?ud=202609071405515543ea14faf6f5_1</t>
        </is>
      </c>
      <c r="D33" t="inlineStr">
        <is>
          <t>Mon, 07 Sep 2026 19:32:00 +0900</t>
        </is>
      </c>
      <c r="E3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4">
      <c r="A34" t="n">
        <v>33</v>
      </c>
      <c r="B34" t="inlineStr">
        <is>
          <t>한화에어로, 무인차 아리온스멧 군 전력화 시동</t>
        </is>
      </c>
      <c r="C34" t="inlineStr">
        <is>
          <t>https://n.news.naver.com/mnews/article/417/0001157611?sid=101</t>
        </is>
      </c>
      <c r="D34" t="inlineStr">
        <is>
          <t>Mon, 07 Sep 2026 17:46:00 +0900</t>
        </is>
      </c>
      <c r="E3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5">
      <c r="A35" t="n">
        <v>34</v>
      </c>
      <c r="B35" t="inlineStr">
        <is>
          <t>[전북 24시] 전북대, 2027학년도 수시모집 총 3507명 선발</t>
        </is>
      </c>
      <c r="C35" t="inlineStr">
        <is>
          <t>https://n.news.naver.com/mnews/article/586/0000137681?sid=102</t>
        </is>
      </c>
      <c r="D35" t="inlineStr">
        <is>
          <t>Mon, 07 Sep 2026 17:44:00 +0900</t>
        </is>
      </c>
      <c r="E3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6">
      <c r="A36" t="n">
        <v>35</v>
      </c>
      <c r="B36" t="inlineStr">
        <is>
          <t>전북대 계약정원제 활용사업, 2차년도 산학 프로젝트 본격화</t>
        </is>
      </c>
      <c r="C36" t="inlineStr">
        <is>
          <t>https://news.unn.net/news/articleView.html?idxno=597010</t>
        </is>
      </c>
      <c r="D36" t="inlineStr">
        <is>
          <t>Mon, 07 Sep 2026 11:28:00 +0900</t>
        </is>
      </c>
      <c r="E36">
        <f>HYPERLINK("https://cdn.news.unn.net/news/thumbnail/202609/597010_422691_2637_v150.jpg", IMAGE("https://cdn.news.unn.net/news/thumbnail/202609/597010_422691_2637_v150.jpg"))</f>
        <v/>
      </c>
    </row>
    <row r="37">
      <c r="A37" t="n">
        <v>36</v>
      </c>
      <c r="B37" t="inlineStr">
        <is>
          <t>KAI 경영참여 나선 한화…수출 시너지 기대 속 공급망 공정성 우려</t>
        </is>
      </c>
      <c r="C37" t="inlineStr">
        <is>
          <t>https://www.g-enews.com/view.php?ud=202609041512003756ea14faf6f5_1</t>
        </is>
      </c>
      <c r="D37" t="inlineStr">
        <is>
          <t>Sun, 06 Sep 2026 18:26:00 +0900</t>
        </is>
      </c>
      <c r="E3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8">
      <c r="A38" t="n">
        <v>37</v>
      </c>
      <c r="B38" t="inlineStr">
        <is>
          <t>‘과학수도’ 대전에 소부장 특화단지… K방산에 날개 단다</t>
        </is>
      </c>
      <c r="C38" t="inlineStr">
        <is>
          <t>https://n.news.naver.com/mnews/article/021/0002815979?sid=102</t>
        </is>
      </c>
      <c r="D38" t="inlineStr">
        <is>
          <t>Thu, 03 Sep 2026 09:19:00 +0900</t>
        </is>
      </c>
      <c r="E38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9">
      <c r="A39" t="n">
        <v>38</v>
      </c>
      <c r="B39" t="inlineStr">
        <is>
          <t>한화그룹의 KAI 인수 추진 둘러싼 갑론을박, '규모의 경제' vs '경쟁 훼손...</t>
        </is>
      </c>
      <c r="C39" t="inlineStr">
        <is>
          <t>https://www.businesspost.co.kr/BP?command=article_view&amp;num=446243</t>
        </is>
      </c>
      <c r="D39" t="inlineStr">
        <is>
          <t>Wed, 02 Sep 2026 17:44:00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전북대, 거점국립대 패키지 지원 3개교 미선정</t>
        </is>
      </c>
      <c r="C40" t="inlineStr">
        <is>
          <t>https://www.newsfreezone.co.kr/news/articleView.html?idxno=706959</t>
        </is>
      </c>
      <c r="D40" t="inlineStr">
        <is>
          <t>Tue, 01 Sep 2026 20:44:00 +0900</t>
        </is>
      </c>
      <c r="E40">
        <f>HYPERLINK("https://cdn.newsfreezone.co.kr/news/thumbnail/202609/706959_753996_4129_v150.jpg", IMAGE("https://cdn.newsfreezone.co.kr/news/thumbnail/202609/706959_753996_4129_v150.jpg"))</f>
        <v/>
      </c>
    </row>
    <row r="41">
      <c r="A41" t="n">
        <v>40</v>
      </c>
      <c r="B41" t="inlineStr">
        <is>
          <t>지상·미사일·조선 전방위로…한화, 美 방산시장 공략 가속</t>
        </is>
      </c>
      <c r="C41" t="inlineStr">
        <is>
          <t>https://www.g-enews.com/view.php?ud=202608281607092592ea14faf6f5_1</t>
        </is>
      </c>
      <c r="D41" t="inlineStr">
        <is>
          <t>Sun, 30 Aug 2026 17:00:00 +0900</t>
        </is>
      </c>
      <c r="E4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2">
      <c r="A42" t="n">
        <v>41</v>
      </c>
      <c r="B42" t="inlineStr">
        <is>
          <t>&amp;quot;그 어렵다는 미국 시장 문도 열었다&amp;quot; K9 자주포의 역사적 순간들</t>
        </is>
      </c>
      <c r="C42" t="inlineStr">
        <is>
          <t>https://n.news.naver.com/mnews/article/469/0000950861?sid=100</t>
        </is>
      </c>
      <c r="D42" t="inlineStr">
        <is>
          <t>Sat, 29 Aug 2026 10:00:00 +0900</t>
        </is>
      </c>
      <c r="E4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3">
      <c r="A43" t="n">
        <v>42</v>
      </c>
      <c r="B43" t="inlineStr">
        <is>
          <t>[대전 24시] 대전시, '방산 소부장 특화단지 지정' 총력</t>
        </is>
      </c>
      <c r="C43" t="inlineStr">
        <is>
          <t>https://n.news.naver.com/mnews/article/586/0000136760?sid=102</t>
        </is>
      </c>
      <c r="D43" t="inlineStr">
        <is>
          <t>Wed, 26 Aug 2026 10:10:00 +0900</t>
        </is>
      </c>
      <c r="E4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4">
      <c r="A44" t="n">
        <v>43</v>
      </c>
      <c r="B44" t="inlineStr">
        <is>
          <t>대전시-대전 국회의원, '방산소부장 특화단지 유치' 국회 토론회</t>
        </is>
      </c>
      <c r="C44" t="inlineStr">
        <is>
          <t>https://www.goodmorningcc.com/news/articleView.html?idxno=451224</t>
        </is>
      </c>
      <c r="D44" t="inlineStr">
        <is>
          <t>Tue, 25 Aug 2026 19:32:00 +0900</t>
        </is>
      </c>
      <c r="E44">
        <f>HYPERLINK("https://cdn.goodmorningcc.com/news/thumbnail/202608/451224_466459_2226_v150.jpg", IMAGE("https://cdn.goodmorningcc.com/news/thumbnail/202608/451224_466459_2226_v150.jpg"))</f>
        <v/>
      </c>
    </row>
    <row r="45">
      <c r="A45" t="n">
        <v>44</v>
      </c>
      <c r="B45" t="inlineStr">
        <is>
          <t>대전시, 방산 소부장 특화단지 지정 위한 국회 토론회 개최</t>
        </is>
      </c>
      <c r="C45" t="inlineStr">
        <is>
          <t>https://www.ccdn.co.kr/news/articleView.html?idxno=1095671</t>
        </is>
      </c>
      <c r="D45" t="inlineStr">
        <is>
          <t>Tue, 25 Aug 2026 18:23:00 +0900</t>
        </is>
      </c>
      <c r="E45">
        <f>HYPERLINK("https://cdn.ccdn.co.kr/news/thumbnail/202608/1095671_606589_1009_v150.jpg", IMAGE("https://cdn.ccdn.co.kr/news/thumbnail/202608/1095671_606589_1009_v150.jpg"))</f>
        <v/>
      </c>
    </row>
    <row r="46">
      <c r="A46" t="n">
        <v>45</v>
      </c>
      <c r="B46" t="inlineStr">
        <is>
          <t>대전시, '정부·기업·연구기관 국회에 모였다'... 방산 특화단지 필요...</t>
        </is>
      </c>
      <c r="C46" t="inlineStr">
        <is>
          <t>https://www.newsworker.co.kr/news/articleView.html?idxno=500829</t>
        </is>
      </c>
      <c r="D46" t="inlineStr">
        <is>
          <t>Tue, 25 Aug 2026 17:30:00 +0900</t>
        </is>
      </c>
      <c r="E46">
        <f>HYPERLINK("https://cdn.newsworker.co.kr/news/photo/202608/500829_500910_198.jpg", IMAGE("https://cdn.newsworker.co.kr/news/photo/202608/500829_500910_198.jpg"))</f>
        <v/>
      </c>
    </row>
    <row r="47">
      <c r="A47" t="n">
        <v>46</v>
      </c>
      <c r="B47" t="inlineStr">
        <is>
          <t>[K방산은 어떻게 세계를 뚫었나]①폴란드서 중동 거쳐 미국까지…4년 만...</t>
        </is>
      </c>
      <c r="C47" t="inlineStr">
        <is>
          <t>http://www.newstomato.com/ReadNews.aspx?no=1311286&amp;inflow=N</t>
        </is>
      </c>
      <c r="D47" t="inlineStr">
        <is>
          <t>Tue, 25 Aug 2026 17:20:00 +0900</t>
        </is>
      </c>
      <c r="E47">
        <f>HYPERLINK("https://image.newstomato.com/newsimg/2026/8/25/1311286/attach.jpg?v=202608261503", IMAGE("https://image.newstomato.com/newsimg/2026/8/25/1311286/attach.jpg?v=202608261503"))</f>
        <v/>
      </c>
    </row>
    <row r="48">
      <c r="A48" t="n">
        <v>47</v>
      </c>
      <c r="B48" t="inlineStr">
        <is>
          <t>대전, 방산 소부장 생태계 구축 나선다...국회 토론회서 경쟁력 점검</t>
        </is>
      </c>
      <c r="C48" t="inlineStr">
        <is>
          <t>https://hbnpress.com/news/view/1065597442480538</t>
        </is>
      </c>
      <c r="D48" t="inlineStr">
        <is>
          <t>Tue, 25 Aug 2026 16:34:00 +0900</t>
        </is>
      </c>
      <c r="E48">
        <f>HYPERLINK("https://hbnpress.com/news/data/20260825/p1065597442480538_273_thum.jpg", IMAGE("https://hbnpress.com/news/data/20260825/p1065597442480538_273_thum.jpg"))</f>
        <v/>
      </c>
    </row>
    <row r="49">
      <c r="A49" t="n">
        <v>48</v>
      </c>
      <c r="B49" t="inlineStr">
        <is>
          <t>대전시, 방산 소부장 특화단지 유치전...'공감대 확산' 총력</t>
        </is>
      </c>
      <c r="C49" t="inlineStr">
        <is>
          <t>https://www.newstnt.com/news/articleView.html?idxno=715180</t>
        </is>
      </c>
      <c r="D49" t="inlineStr">
        <is>
          <t>Tue, 25 Aug 2026 16:18:00 +0900</t>
        </is>
      </c>
      <c r="E49">
        <f>HYPERLINK("https://cdn.newstnt.com/news/photo/202608/715180_717908_1554.jpg", IMAGE("https://cdn.newstnt.com/news/photo/202608/715180_717908_1554.jpg"))</f>
        <v/>
      </c>
    </row>
    <row r="50">
      <c r="A50" t="n">
        <v>49</v>
      </c>
      <c r="B50" t="inlineStr">
        <is>
          <t>대전시, 방산 소부장 특화단지 지정 총력전…&amp;quot;국방 역량·과학기술 등 집...</t>
        </is>
      </c>
      <c r="C50" t="inlineStr">
        <is>
          <t>http://www.chungnamilbo.co.kr/news/articleView.html?idxno=905751</t>
        </is>
      </c>
      <c r="D50" t="inlineStr">
        <is>
          <t>Tue, 25 Aug 2026 16:12:00 +0900</t>
        </is>
      </c>
      <c r="E50">
        <f>HYPERLINK("https://cdn.chungnamilbo.co.kr/news/thumbnail/202608/905751_483940_3556_v150.jpg", IMAGE("https://cdn.chungnamilbo.co.kr/news/thumbnail/202608/905751_483940_3556_v150.jpg"))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대전, 국방 R&amp;amp;D 도시 넘어 방산 공급망 거점 노린다</t>
        </is>
      </c>
      <c r="C57" t="inlineStr">
        <is>
          <t>http://www.dailypop.kr/news/articleView.html?idxno=101907</t>
        </is>
      </c>
      <c r="D57" t="inlineStr">
        <is>
          <t>Tue, 25 Aug 2026 15:40:00 +0900</t>
        </is>
      </c>
      <c r="E57">
        <f>HYPERLINK("http://www.dailypop.kr/news/thumbnail/202608/101907_169232_1125_v150.jpg", IMAGE("http://www.dailypop.kr/news/thumbnail/202608/101907_169232_1125_v150.jpg"))</f>
        <v/>
      </c>
    </row>
    <row r="58">
      <c r="A58" t="n">
        <v>57</v>
      </c>
      <c r="B58" t="inlineStr">
        <is>
          <t>대전, 국회서 방산 소부장 특화단지 최적지 알려</t>
        </is>
      </c>
      <c r="C58" t="inlineStr">
        <is>
          <t>https://n.news.naver.com/mnews/article/011/0004654970?sid=102</t>
        </is>
      </c>
      <c r="D58" t="inlineStr">
        <is>
          <t>Tue, 25 Aug 2026 15:33:00 +0900</t>
        </is>
      </c>
      <c r="E5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9">
      <c r="A59" t="n">
        <v>58</v>
      </c>
      <c r="B59" t="inlineStr">
        <is>
          <t>“첨단 국방 중심지로”…대전시, 방산 소부장 특화단지 지정 논의 토론...</t>
        </is>
      </c>
      <c r="C59" t="inlineStr">
        <is>
          <t>https://www.sentv.co.kr/article/view/sentv202608250155</t>
        </is>
      </c>
      <c r="D59" t="inlineStr">
        <is>
          <t>Tue, 25 Aug 2026 15:24:00 +0900</t>
        </is>
      </c>
      <c r="E59">
        <f>HYPERLINK("https://www.sentv.co.kr/data/sentv/image/2026/08/25/sentv20260825000143.jpg", IMAGE("https://www.sentv.co.kr/data/sentv/image/2026/08/25/sentv20260825000143.jpg"))</f>
        <v/>
      </c>
    </row>
    <row r="60">
      <c r="A60" t="n">
        <v>59</v>
      </c>
      <c r="B60" t="inlineStr">
        <is>
          <t>대전시, 'K-방산 심장' 정조준…국방 소부장 특화단지 유치 역량 모은다</t>
        </is>
      </c>
      <c r="C60" t="inlineStr">
        <is>
          <t>https://n.news.naver.com/mnews/article/030/0003460160?sid=102</t>
        </is>
      </c>
      <c r="D60" t="inlineStr">
        <is>
          <t>Tue, 25 Aug 2026 14:01:00 +0900</t>
        </is>
      </c>
      <c r="E6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1">
      <c r="A61" t="n">
        <v>60</v>
      </c>
      <c r="B61" t="inlineStr">
        <is>
          <t>한화 K9 자주포, 美 뚫었다… 獨·英 기업 제치고 ‘차륜형’ 수출</t>
        </is>
      </c>
      <c r="C61" t="inlineStr">
        <is>
          <t>https://n.news.naver.com/mnews/article/023/0003993895?sid=101</t>
        </is>
      </c>
      <c r="D61" t="inlineStr">
        <is>
          <t>Thu, 20 Aug 2026 00:47:00 +0900</t>
        </is>
      </c>
      <c r="E61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2">
      <c r="A62" t="n">
        <v>61</v>
      </c>
      <c r="B62" t="inlineStr">
        <is>
          <t>한화, 美 육군 뚫었다…K9 자주포 계약금만 '무려'</t>
        </is>
      </c>
      <c r="C62" t="inlineStr">
        <is>
          <t>https://n.news.naver.com/mnews/article/374/0000528273?sid=101</t>
        </is>
      </c>
      <c r="D62" t="inlineStr">
        <is>
          <t>Wed, 19 Aug 2026 18:28:00 +0900</t>
        </is>
      </c>
      <c r="E6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3">
      <c r="A63" t="n">
        <v>62</v>
      </c>
      <c r="B63" t="inlineStr">
        <is>
          <t>美 '함정 건조' 문 열리나···K조선에 남을 진짜 실익은?</t>
        </is>
      </c>
      <c r="C63" t="inlineStr">
        <is>
          <t>http://www.enewstoday.co.kr/news/articleView.html?idxno=2460421</t>
        </is>
      </c>
      <c r="D63" t="inlineStr">
        <is>
          <t>Wed, 19 Aug 2026 08:00:00 +0900</t>
        </is>
      </c>
      <c r="E63">
        <f>HYPERLINK("https://cdn.enewstoday.co.kr/news/thumbnail/202608/2460421_1301267_1921_v150.jpg", IMAGE("https://cdn.enewstoday.co.kr/news/thumbnail/202608/2460421_1301267_1921_v150.jpg"))</f>
        <v/>
      </c>
    </row>
    <row r="64">
      <c r="A64" t="n">
        <v>63</v>
      </c>
      <c r="B64" t="inlineStr">
        <is>
          <t>‘20조’ 美 함정 MRO 시장⋯ K-조선, 7함대 중심 낙수효과 커진다</t>
        </is>
      </c>
      <c r="C64" t="inlineStr">
        <is>
          <t>https://www.viva100.com/article/20260817500461</t>
        </is>
      </c>
      <c r="D64" t="inlineStr">
        <is>
          <t>Mon, 17 Aug 2026 15:32:00 +0900</t>
        </is>
      </c>
      <c r="E64">
        <f>HYPERLINK("https://stqnq5ux4599.edge.naverncp.com/data2//content/image/2026/08/17/.cache/512/20260817500416.jpg?v=20260925034549", IMAGE("https://stqnq5ux4599.edge.naverncp.com/data2//content/image/2026/08/17/.cache/512/20260817500416.jpg?v=20260925034549"))</f>
        <v/>
      </c>
    </row>
    <row r="65">
      <c r="A65" t="n">
        <v>64</v>
      </c>
      <c r="B65" t="inlineStr">
        <is>
          <t>피라미드 상공까지 열어준 이집트... K9으로 쌓인 신뢰의 무게</t>
        </is>
      </c>
      <c r="C65" t="inlineStr">
        <is>
          <t>https://n.news.naver.com/mnews/article/469/0000948256?sid=100</t>
        </is>
      </c>
      <c r="D65" t="inlineStr">
        <is>
          <t>Sun, 16 Aug 2026 10:00:00 +0900</t>
        </is>
      </c>
      <c r="E6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6">
      <c r="A66" t="n">
        <v>65</v>
      </c>
      <c r="B66" t="inlineStr">
        <is>
          <t>한국서 美 군함 만들 길 열렸다…트럼프, 최대 2척 해외 건조 허용</t>
        </is>
      </c>
      <c r="C66" t="inlineStr">
        <is>
          <t>https://n.news.naver.com/mnews/article/448/0000633625?sid=101</t>
        </is>
      </c>
      <c r="D66" t="inlineStr">
        <is>
          <t>Fri, 14 Aug 2026 21:40:00 +0900</t>
        </is>
      </c>
      <c r="E6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7">
      <c r="A67" t="n">
        <v>66</v>
      </c>
      <c r="B67" t="inlineStr">
        <is>
          <t>한화, KAI 이어 오스탈까지…확대되는 ‘한국판 록히드마틴’ 구상</t>
        </is>
      </c>
      <c r="C67" t="inlineStr">
        <is>
          <t>https://www.g-enews.com/view.php?ud=202608121305118853ea14faf6f5_1</t>
        </is>
      </c>
      <c r="D67" t="inlineStr">
        <is>
          <t>Wed, 12 Aug 2026 14:10:00 +0900</t>
        </is>
      </c>
      <c r="E6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HYPERLINK("https://cdn.m-i.kr/news/thumbnail/202608/1404584_1192641_483_v150.jpg", IMAGE("https://cdn.m-i.kr/news/thumbnail/202608/1404584_1192641_483_v150.jpg"))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HYPERLINK("https://stqnq5ux4599.edge.naverncp.com/data2//content/image/2026/08/19/.cache/512/20260819500011.png?v=20260925034709", IMAGE("https://stqnq5ux4599.edge.naverncp.com/data2//content/image/2026/08/19/.cache/512/20260819500011.png?v=20260925034709"))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HYPERLINK("https://stqnq5ux4599.edge.naverncp.com/data2//content/image/2026/08/12/20260812500674.webp?v=20260925034723", IMAGE("https://stqnq5ux4599.edge.naverncp.com/data2//content/image/2026/08/12/20260812500674.webp?v=20260925034723"))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‘MASGA’ 출범했지만⋯ K-조선 수혜규모, 워싱턴서 갈린다</t>
        </is>
      </c>
      <c r="C103" t="inlineStr">
        <is>
          <t>https://www.viva100.com/article/20260726500503</t>
        </is>
      </c>
      <c r="D103" t="inlineStr">
        <is>
          <t>Sun, 26 Jul 2026 15:42:00 +0900</t>
        </is>
      </c>
      <c r="E103">
        <f>HYPERLINK("https://stqnq5ux4599.edge.naverncp.com/data2//content/image/2026/07/26/.cache/512/20260726500497.jpg?v=20260925034756", IMAGE("https://stqnq5ux4599.edge.naverncp.com/data2//content/image/2026/07/26/.cache/512/20260726500497.jpg?v=20260925034756"))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 “K-방산 인재·산업 거점으로 도약”</t>
        </is>
      </c>
      <c r="C106" t="inlineStr">
        <is>
          <t>https://n.news.naver.com/mnews/article/020/0003735992?sid=102</t>
        </is>
      </c>
      <c r="D106" t="inlineStr">
        <is>
          <t>Thu, 23 Jul 2026 14:48:00 +0900</t>
        </is>
      </c>
      <c r="E10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7">
      <c r="A107" t="n">
        <v>106</v>
      </c>
      <c r="B107" t="inlineStr">
        <is>
          <t>[차세현의 직격토론] “미국 군함 건조하면 나토 시장 K방산에 활짝 열...</t>
        </is>
      </c>
      <c r="C107" t="inlineStr">
        <is>
          <t>https://n.news.naver.com/mnews/article/025/0003539208?sid=110</t>
        </is>
      </c>
      <c r="D107" t="inlineStr">
        <is>
          <t>Wed, 22 Jul 2026 00:14:00 +0900</t>
        </is>
      </c>
      <c r="E10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8">
      <c r="A108" t="n">
        <v>107</v>
      </c>
      <c r="B108" t="inlineStr">
        <is>
          <t>김동관 한화 부회장, '전 공정 현지 생산'으로 미국 방산 '벽' 깬다</t>
        </is>
      </c>
      <c r="C108" t="inlineStr">
        <is>
          <t>https://www.insightkorea.co.kr/news/articleView.html?idxno=250489</t>
        </is>
      </c>
      <c r="D108" t="inlineStr">
        <is>
          <t>Mon, 20 Jul 2026 16:36:00 +0900</t>
        </is>
      </c>
      <c r="E108">
        <f>HYPERLINK("https://cdn.insightkorea.co.kr/news/thumbnail/202607/250489_260882_4746_v150.jpg", IMAGE("https://cdn.insightkorea.co.kr/news/thumbnail/202607/250489_260882_4746_v150.jpg"))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'유럽 방산블록'에 수주 주춤…K방산 승부처는</t>
        </is>
      </c>
      <c r="C110" t="inlineStr">
        <is>
          <t>https://news.mtn.co.kr/news-detail/2026071616414621415</t>
        </is>
      </c>
      <c r="D110" t="inlineStr">
        <is>
          <t>Thu, 16 Jul 2026 17:54:00 +0900</t>
        </is>
      </c>
      <c r="E11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1">
      <c r="A111" t="n">
        <v>110</v>
      </c>
      <c r="B111" t="inlineStr">
        <is>
          <t>유럽 '방산 블록' 본격화, K-방산 새 수출 전략이 필요하다</t>
        </is>
      </c>
      <c r="C111" t="inlineStr">
        <is>
          <t>https://bizhankook.com/articles/k-defense-europe-future-strategy.html</t>
        </is>
      </c>
      <c r="D111" t="inlineStr">
        <is>
          <t>Thu, 16 Jul 2026 15:48:00 +0900</t>
        </is>
      </c>
      <c r="E111">
        <f>HYPERLINK("https://s.bizhankook.com/attachments_og/2026/07/134680_og_4b86a4ce.jpg", IMAGE("https://s.bizhankook.com/attachments_og/2026/07/134680_og_4b86a4ce.jpg"))</f>
        <v/>
      </c>
    </row>
    <row r="112">
      <c r="A112" t="n">
        <v>111</v>
      </c>
      <c r="B112" t="inlineStr">
        <is>
          <t>4조짜리 태국 호위함 잡아라…조선 '빅2' 수주전 곧 결판난다</t>
        </is>
      </c>
      <c r="C112" t="inlineStr">
        <is>
          <t>https://www.insightkorea.co.kr/news/articleView.html?idxno=250247</t>
        </is>
      </c>
      <c r="D112" t="inlineStr">
        <is>
          <t>Wed, 15 Jul 2026 17:08:00 +0900</t>
        </is>
      </c>
      <c r="E112">
        <f>HYPERLINK("https://cdn.insightkorea.co.kr/news/thumbnail/202607/250247_260717_3649_v150.jpg", IMAGE("https://cdn.insightkorea.co.kr/news/thumbnail/202607/250247_260717_3649_v150.jpg"))</f>
        <v/>
      </c>
    </row>
    <row r="113">
      <c r="A113" t="n">
        <v>112</v>
      </c>
      <c r="B113" t="inlineStr">
        <is>
          <t>'4兆' 태국 호위함 수주 눈앞…한화오션, 해외 함정시장 판 키운다</t>
        </is>
      </c>
      <c r="C113" t="inlineStr">
        <is>
          <t>https://www.asiatoday.co.kr/kn/view.php?key=20260715010005591</t>
        </is>
      </c>
      <c r="D113" t="inlineStr">
        <is>
          <t>Wed, 15 Jul 2026 14:18:00 +0900</t>
        </is>
      </c>
      <c r="E113">
        <f>HYPERLINK("https://img.asiatoday.co.kr/file/2026y/07m/16d/2026071501001031000055911.jpg", IMAGE("https://img.asiatoday.co.kr/file/2026y/07m/16d/2026071501001031000055911.jpg"))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[시사천국] 드론이 바꾼 전쟁의 문법…평화를 위한 K-방산의 과제는?</t>
        </is>
      </c>
      <c r="C115" t="inlineStr">
        <is>
          <t>https://news.cpbc.co.kr/article/1174362?division=NAVER</t>
        </is>
      </c>
      <c r="D115" t="inlineStr">
        <is>
          <t>Tue, 14 Jul 2026 22:54:00 +0900</t>
        </is>
      </c>
      <c r="E115">
        <f>HYPERLINK("https://img.cpbc.co.kr/newsimg/upload/2026/07/14/6oH1784030232565.jpg", IMAGE("https://img.cpbc.co.kr/newsimg/upload/2026/07/14/6oH1784030232565.jpg"))</f>
        <v/>
      </c>
    </row>
    <row r="116">
      <c r="A116" t="n">
        <v>115</v>
      </c>
      <c r="B116" t="inlineStr">
        <is>
          <t>MASGA 길 따라 ‘1600조’ 美 군함 시장 열릴까</t>
        </is>
      </c>
      <c r="C116" t="inlineStr">
        <is>
          <t>https://n.news.naver.com/mnews/article/005/0001860745?sid=101</t>
        </is>
      </c>
      <c r="D116" t="inlineStr">
        <is>
          <t>Tue, 14 Jul 2026 00:09:00 +0900</t>
        </is>
      </c>
      <c r="E11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[포커스] 캐나다선 고배 마셨지만…&amp;quot;글로벌 군함 수주전, 지금부터 시작...</t>
        </is>
      </c>
      <c r="C119" t="inlineStr">
        <is>
          <t>https://n.news.naver.com/mnews/article/448/0000626219?sid=101</t>
        </is>
      </c>
      <c r="D119" t="inlineStr">
        <is>
          <t>Sun, 12 Jul 2026 19:33:00 +0900</t>
        </is>
      </c>
      <c r="E11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0">
      <c r="A120" t="n">
        <v>119</v>
      </c>
      <c r="B120" t="inlineStr">
        <is>
          <t>K-조선 미련⋯ 캐나다, 북극항로·해양안보 매력 못 잊어</t>
        </is>
      </c>
      <c r="C120" t="inlineStr">
        <is>
          <t>https://www.viva100.com/article/20260712500414</t>
        </is>
      </c>
      <c r="D120" t="inlineStr">
        <is>
          <t>Sun, 12 Jul 2026 14:06:00 +0900</t>
        </is>
      </c>
      <c r="E120">
        <f>HYPERLINK("https://stqnq5ux4599.edge.naverncp.com/data2//content/image/2026/07/12/.cache/512/20260712500405.jpg?v=20260925034839", IMAGE("https://stqnq5ux4599.edge.naverncp.com/data2//content/image/2026/07/12/.cache/512/20260712500405.jpg?v=20260925034839"))</f>
        <v/>
      </c>
    </row>
    <row r="121">
      <c r="A121" t="n">
        <v>120</v>
      </c>
      <c r="B121" t="inlineStr">
        <is>
          <t>한화, KAI에 '2.5兆' 베팅… '육해공 통합 방산' 퍼즐 맞춘다</t>
        </is>
      </c>
      <c r="C121" t="inlineStr">
        <is>
          <t>https://www.asiatoday.co.kr/kn/view.php?key=20260710010003712</t>
        </is>
      </c>
      <c r="D121" t="inlineStr">
        <is>
          <t>Thu, 09 Jul 2026 17:44:00 +0900</t>
        </is>
      </c>
      <c r="E121">
        <f>HYPERLINK("https://img.asiatoday.co.kr/file/2026y/07m/10d/2026071001000693700037121.jpg", IMAGE("https://img.asiatoday.co.kr/file/2026y/07m/10d/2026071001000693700037121.jpg"))</f>
        <v/>
      </c>
    </row>
    <row r="122">
      <c r="A122" t="n">
        <v>121</v>
      </c>
      <c r="B122" t="inlineStr">
        <is>
          <t>유럽 방산시장 '새 판'···나토가 선택할 K방산 기업의 조건은?</t>
        </is>
      </c>
      <c r="C122" t="inlineStr">
        <is>
          <t>http://www.enewstoday.co.kr/news/articleView.html?idxno=2447247</t>
        </is>
      </c>
      <c r="D122" t="inlineStr">
        <is>
          <t>Thu, 09 Jul 2026 15:36:00 +0900</t>
        </is>
      </c>
      <c r="E122">
        <f>HYPERLINK("https://cdn.enewstoday.co.kr/news/thumbnail/202607/2447247_1285242_2338_v150.jpg", IMAGE("https://cdn.enewstoday.co.kr/news/thumbnail/202607/2447247_1285242_2338_v150.jpg"))</f>
        <v/>
      </c>
    </row>
    <row r="123">
      <c r="A123" t="n">
        <v>122</v>
      </c>
      <c r="B123" t="inlineStr">
        <is>
          <t>[방산 이슈 진단 (152)] 캐나다 잠수함 사업, ‘20조원+α’인 사업 규모...</t>
        </is>
      </c>
      <c r="C123" t="inlineStr">
        <is>
          <t>https://www.news2day.co.kr/article/20260709500128</t>
        </is>
      </c>
      <c r="D123" t="inlineStr">
        <is>
          <t>Thu, 09 Jul 2026 11:32:00 +0900</t>
        </is>
      </c>
      <c r="E123">
        <f>HYPERLINK("https://cdn.news2day.co.kr/data2/content/image/2026/07/09/.cache/512/20260709500125.png", IMAGE("https://cdn.news2day.co.kr/data2/content/image/2026/07/09/.cache/512/20260709500125.png"))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[나토 문턱에 선 K-잠수함] 전문가들 “최종 경합 자체가 레퍼런스”…...</t>
        </is>
      </c>
      <c r="C125" t="inlineStr">
        <is>
          <t>https://www.g-enews.com/view.php?ud=202607081433085592ea14faf6f5_1</t>
        </is>
      </c>
      <c r="D125" t="inlineStr">
        <is>
          <t>Wed, 08 Jul 2026 19:16:00 +0900</t>
        </is>
      </c>
      <c r="E12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6">
      <c r="A126" t="n">
        <v>125</v>
      </c>
      <c r="B126" t="inlineStr">
        <is>
          <t>[나토 문턱에 선 K-잠수함] 캐나다가 택한 건 잠수함 너머 ‘안보 생태...</t>
        </is>
      </c>
      <c r="C126" t="inlineStr">
        <is>
          <t>https://www.g-enews.com/view.php?ud=20260708150048725924debea800_1</t>
        </is>
      </c>
      <c r="D126" t="inlineStr">
        <is>
          <t>Wed, 08 Jul 2026 19:14:00 +0900</t>
        </is>
      </c>
      <c r="E12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HYPERLINK("https://cdn.m-i.kr/news/thumbnail/202608/1405767_1193937_3424_v150.jpg", IMAGE("https://cdn.m-i.kr/news/thumbnail/202608/1405767_1193937_3424_v150.jpg"))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HYPERLINK("https://cdn.m-i.kr/news/thumbnail/202608/1400586_1188464_1020_v150.jpg", IMAGE("https://cdn.m-i.kr/news/thumbnail/202608/1400586_1188464_1020_v150.jpg"))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HYPERLINK("https://cdn.m-i.kr/news/thumbnail/202607/1397184_1185010_558_v150.jpg", IMAGE("https://cdn.m-i.kr/news/thumbnail/202607/1397184_1185010_558_v150.jpg"))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HYPERLINK("https://cdn.m-i.kr/news/thumbnail/202607/1395625_1183389_4926_v150.jpg", IMAGE("https://cdn.m-i.kr/news/thumbnail/202607/1395625_1183389_4926_v150.jpg"))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HYPERLINK("https://cdn.m-i.kr/news/thumbnail/202607/1392350_1180000_1950_v150.jpg", IMAGE("https://cdn.m-i.kr/news/thumbnail/202607/1392350_1180000_1950_v150.jpg"))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캐나다서 고배 마신 한화오션, 미국선 러브콜…'전투함 건조' 길 열릴까...</t>
        </is>
      </c>
      <c r="C189" t="inlineStr">
        <is>
          <t>https://n.news.naver.com/mnews/article/277/0005787343?sid=101</t>
        </is>
      </c>
      <c r="D189" t="inlineStr">
        <is>
          <t>Wed, 08 Jul 2026 16:32:00 +0900</t>
        </is>
      </c>
      <c r="E18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0">
      <c r="A190" t="n">
        <v>189</v>
      </c>
      <c r="B190" t="inlineStr">
        <is>
          <t>“가성비만으론 나토 ‘방산 블록’ 못 뚫어… 안보 협력 강화부터”</t>
        </is>
      </c>
      <c r="C190" t="inlineStr">
        <is>
          <t>https://n.news.naver.com/mnews/article/023/0003986369?sid=101</t>
        </is>
      </c>
      <c r="D190" t="inlineStr">
        <is>
          <t>Wed, 08 Jul 2026 00:52:00 +0900</t>
        </is>
      </c>
      <c r="E19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1">
      <c r="A191" t="n">
        <v>190</v>
      </c>
      <c r="B191" t="inlineStr">
        <is>
          <t>K방산, 강호 獨 맞서며 경쟁력 확인… 중동·동남아 기회 남았다</t>
        </is>
      </c>
      <c r="C191" t="inlineStr">
        <is>
          <t>https://n.news.naver.com/mnews/article/005/0001859579?sid=101</t>
        </is>
      </c>
      <c r="D191" t="inlineStr">
        <is>
          <t>Wed, 08 Jul 2026 00:13:00 +0900</t>
        </is>
      </c>
      <c r="E19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2026-09-24T18:51:46Z</dcterms:created>
  <dcterms:modified xsi:type="dcterms:W3CDTF">2026-09-24T18:51:46Z</dcterms:modified>
</cp:coreProperties>
</file>